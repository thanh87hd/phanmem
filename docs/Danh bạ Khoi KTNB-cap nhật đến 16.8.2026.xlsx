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ucth\Downloads\"/>
    </mc:Choice>
  </mc:AlternateContent>
  <xr:revisionPtr revIDLastSave="0" documentId="8_{9891E022-8FF6-4D2C-83B1-49B43305754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GV" sheetId="2" state="veryHidden" r:id="rId1"/>
    <sheet name="Sheet1" sheetId="1" r:id="rId2"/>
  </sheets>
  <definedNames>
    <definedName name="_xlnm._FilterDatabase" localSheetId="1" hidden="1">Sheet1!$A$6:$K$40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H4" i="1"/>
  <c r="G4" i="1"/>
  <c r="J4" i="1" l="1"/>
</calcChain>
</file>

<file path=xl/sharedStrings.xml><?xml version="1.0" encoding="utf-8"?>
<sst xmlns="http://schemas.openxmlformats.org/spreadsheetml/2006/main" count="208" uniqueCount="126">
  <si>
    <t>LĐK</t>
  </si>
  <si>
    <t>STT</t>
  </si>
  <si>
    <t>Mã NV</t>
  </si>
  <si>
    <t>Họ và tên</t>
  </si>
  <si>
    <t>KV</t>
  </si>
  <si>
    <t>Ngày vào KTNB</t>
  </si>
  <si>
    <t>Ngày sinh</t>
  </si>
  <si>
    <t>Số điện thoại</t>
  </si>
  <si>
    <t>Email</t>
  </si>
  <si>
    <t>Cố định</t>
  </si>
  <si>
    <t>Di động</t>
  </si>
  <si>
    <t>MB</t>
  </si>
  <si>
    <t>PHÒNG KIỂM TOÁN HỘI SỞ VÀ HỆ THỐNG</t>
  </si>
  <si>
    <t>0936.200.894</t>
  </si>
  <si>
    <t>thanhpd@lpbank.com.vn</t>
  </si>
  <si>
    <t>0965.615.828</t>
  </si>
  <si>
    <t>thuydn@lpbank.com.vn</t>
  </si>
  <si>
    <t>0817.773.770</t>
  </si>
  <si>
    <t>quyetnm@lpbank.com.vn</t>
  </si>
  <si>
    <t>anhpv7@lpbank.com.vn</t>
  </si>
  <si>
    <t>0983.333.889</t>
  </si>
  <si>
    <t>diepnx@lpbank.com.vn</t>
  </si>
  <si>
    <t>0936.484.289</t>
  </si>
  <si>
    <t>danhpc@lpbank.com.vn</t>
  </si>
  <si>
    <t>Trần Thị Ngọc Ánh</t>
  </si>
  <si>
    <t>0942.795.595</t>
  </si>
  <si>
    <t>anhttn2@lpbank.com.vn</t>
  </si>
  <si>
    <t>Cao Thị Mai</t>
  </si>
  <si>
    <t>0382.913.597</t>
  </si>
  <si>
    <t>maict@lpbank.com.vn</t>
  </si>
  <si>
    <t>Đinh Hoàng Thiên</t>
  </si>
  <si>
    <t>0965.955.042</t>
  </si>
  <si>
    <t>thiendh@lpbank.com.vn</t>
  </si>
  <si>
    <t>Nguyễn Thị Thanh Thúy</t>
  </si>
  <si>
    <t>0981.375.788</t>
  </si>
  <si>
    <t>thuyntt26@lpbank.com.vn</t>
  </si>
  <si>
    <t>Nguyễn Minh Châu</t>
  </si>
  <si>
    <t>chaunm3@lpbank.com.vn</t>
  </si>
  <si>
    <t>Nguyễn Cảnh Đạt</t>
  </si>
  <si>
    <t>datnc3@lpbank.com.vn</t>
  </si>
  <si>
    <t>Trịnh Trung Hiếu</t>
  </si>
  <si>
    <t>hieutt13@lpbank.com.vn</t>
  </si>
  <si>
    <t>MN</t>
  </si>
  <si>
    <t>0328.681.931</t>
  </si>
  <si>
    <t>linhtd3@lpbank.com.vn</t>
  </si>
  <si>
    <t>0903.199.248</t>
  </si>
  <si>
    <t>minhhc@lpbank.com.vn</t>
  </si>
  <si>
    <t>Trần Thị Thúy Hằng</t>
  </si>
  <si>
    <t>hangttt@lpbank.com.vn</t>
  </si>
  <si>
    <t>Đào Thị Kim Oanh</t>
  </si>
  <si>
    <t>0972.779.500</t>
  </si>
  <si>
    <t>oanhdtk4@lpbank.com.vn</t>
  </si>
  <si>
    <t>Hoàng Công Nguyên</t>
  </si>
  <si>
    <t>0989.354.912</t>
  </si>
  <si>
    <t>nguyenhc@lpbank.com.vn</t>
  </si>
  <si>
    <t>Vũ Hải Ninh</t>
  </si>
  <si>
    <t>0912.646.789</t>
  </si>
  <si>
    <t>ninhvh@lpbank.com.vn</t>
  </si>
  <si>
    <t>Nguyễn Huỳnh Sơn</t>
  </si>
  <si>
    <t>0988.877.638</t>
  </si>
  <si>
    <t>sonnh6@lpbank.com.vn</t>
  </si>
  <si>
    <t>Hoàng Thị Thọ</t>
  </si>
  <si>
    <t>0978.733.308</t>
  </si>
  <si>
    <t>thoht@lpbank.com.vn</t>
  </si>
  <si>
    <t>luongnt2@lpbank.com.vn</t>
  </si>
  <si>
    <t>TỔNG NHÂN SỰ KHỐI KTNB</t>
  </si>
  <si>
    <t>Ninh Xuân Điệp</t>
  </si>
  <si>
    <t xml:space="preserve">Phan Cảnh Danh </t>
  </si>
  <si>
    <t xml:space="preserve">Phùng Vân Anh </t>
  </si>
  <si>
    <t xml:space="preserve">Trần Đức Lĩnh </t>
  </si>
  <si>
    <t>Huỳnh Công Minh</t>
  </si>
  <si>
    <t xml:space="preserve">Phạm Đức Thành </t>
  </si>
  <si>
    <t xml:space="preserve">Đinh Ngọc Thúy </t>
  </si>
  <si>
    <t xml:space="preserve">Nguyễn Mạnh Quyết </t>
  </si>
  <si>
    <t>Nguyễn Thị Lương</t>
  </si>
  <si>
    <t xml:space="preserve">P. ĐVKD </t>
  </si>
  <si>
    <t>Chức danh</t>
  </si>
  <si>
    <t>Nơi làm việc</t>
  </si>
  <si>
    <t>Phòng ban</t>
  </si>
  <si>
    <t>Phó phòng</t>
  </si>
  <si>
    <t>Kiểm toán viên cao cấp</t>
  </si>
  <si>
    <t>Kiểm toán viên chính</t>
  </si>
  <si>
    <t>Kiểm toán viên</t>
  </si>
  <si>
    <t>KT ĐVKD</t>
  </si>
  <si>
    <t>BGĐ</t>
  </si>
  <si>
    <t>Số ĐT cố định:
02462.668.668                  
02862.668.668</t>
  </si>
  <si>
    <t>Lê Tuấn Anh</t>
  </si>
  <si>
    <t>anhlt32@lpbank.com.vn</t>
  </si>
  <si>
    <t>0904.414.015</t>
  </si>
  <si>
    <t>Ngô Kim Hoàng</t>
  </si>
  <si>
    <t>Chuyên Gia</t>
  </si>
  <si>
    <t>Hoangnk1@lpbank.com.vn</t>
  </si>
  <si>
    <t>Khuất Duy Hải</t>
  </si>
  <si>
    <t>haikd@lpbank.com.vn</t>
  </si>
  <si>
    <t>Thái Đình Tùng</t>
  </si>
  <si>
    <t>0869.691.389</t>
  </si>
  <si>
    <t>tungtd2@lpbank.com.vn</t>
  </si>
  <si>
    <t>Phạm Huy Bình</t>
  </si>
  <si>
    <t>binhph@lpbank.com.vn</t>
  </si>
  <si>
    <t>Nguyễn Thị Thu Nga</t>
  </si>
  <si>
    <t>Ngantt34@lpbank.com.vn</t>
  </si>
  <si>
    <t>0962089869</t>
  </si>
  <si>
    <t>Nguyễn Tuấn Hiệp</t>
  </si>
  <si>
    <t>Hiepnt@lpbank.com.vn</t>
  </si>
  <si>
    <t>BAN GIÁM ĐỐC KHỐI KTNB</t>
  </si>
  <si>
    <t>KT HS và HT</t>
  </si>
  <si>
    <t>P. HS &amp; HT</t>
  </si>
  <si>
    <t>0928277776</t>
  </si>
  <si>
    <t>Đặng Văn Phúc</t>
  </si>
  <si>
    <t>0974.857.869</t>
  </si>
  <si>
    <t>Phucdv2@lpbank.com.vn</t>
  </si>
  <si>
    <t xml:space="preserve">PHÒNG KIỂM TOÁN ĐVKD </t>
  </si>
  <si>
    <t>083.672.9449</t>
  </si>
  <si>
    <t>0978.904.666</t>
  </si>
  <si>
    <t>0904.993.168</t>
  </si>
  <si>
    <t>0913.383.332</t>
  </si>
  <si>
    <t>0903.403.339</t>
  </si>
  <si>
    <t>0788.413.913</t>
  </si>
  <si>
    <t>0902.187.696</t>
  </si>
  <si>
    <t>0915.689.678</t>
  </si>
  <si>
    <t>0911.611.330</t>
  </si>
  <si>
    <r>
      <t xml:space="preserve">DANH BẠ BKS và KHỐI KTNB 
</t>
    </r>
    <r>
      <rPr>
        <sz val="12"/>
        <color theme="1"/>
        <rFont val="Times New Roman"/>
        <family val="1"/>
      </rPr>
      <t xml:space="preserve">(Cập nhật đến 17/6/2026) </t>
    </r>
  </si>
  <si>
    <t>Phó Giám đốc phụ trách Khối</t>
  </si>
  <si>
    <t>Nguyễn Thị Thanh Huyền</t>
  </si>
  <si>
    <t>Huyenntt53@lpbank.com.vn</t>
  </si>
  <si>
    <t>0906899799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</si>
</sst>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63"/>
      <scheme val="minor"/>
    </font>
    <font>
      <sz val="10"/>
      <name val="Times New Roman"/>
      <family val="1"/>
    </font>
    <font>
      <u/>
      <sz val="12"/>
      <color rgb="FF0563C1"/>
      <name val="Times New Roman"/>
      <family val="2"/>
    </font>
    <font>
      <sz val="12"/>
      <color theme="1"/>
      <name val="Arial"/>
      <family val="2"/>
      <scheme val="minor"/>
    </font>
    <font>
      <sz val="11"/>
      <color theme="1"/>
      <name val="Times New Roman"/>
      <family val="2"/>
      <charset val="163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indexed="8"/>
      <name val="Calibri"/>
      <family val="2"/>
    </font>
    <font>
      <u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" fillId="0" borderId="0"/>
    <xf numFmtId="0" fontId="7" fillId="0" borderId="0"/>
  </cellStyleXfs>
  <cellXfs count="61">
    <xf numFmtId="0" fontId="0" fillId="0" borderId="0" xfId="0"/>
    <xf numFmtId="14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14" fontId="6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4" fontId="5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4" borderId="1" xfId="0" quotePrefix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quotePrefix="1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0" borderId="1" xfId="0" quotePrefix="1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4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0" xfId="0" applyFont="1" applyFill="1"/>
    <xf numFmtId="14" fontId="5" fillId="7" borderId="1" xfId="0" quotePrefix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8" fillId="0" borderId="1" xfId="2" quotePrefix="1" applyFont="1" applyFill="1" applyBorder="1" applyAlignment="1" applyProtection="1">
      <alignment horizontal="left" vertical="center"/>
    </xf>
    <xf numFmtId="0" fontId="8" fillId="0" borderId="1" xfId="2" applyFont="1" applyFill="1" applyBorder="1" applyAlignment="1" applyProtection="1">
      <alignment vertical="center"/>
    </xf>
    <xf numFmtId="0" fontId="8" fillId="0" borderId="0" xfId="2" applyFont="1" applyAlignment="1" applyProtection="1"/>
    <xf numFmtId="0" fontId="5" fillId="0" borderId="1" xfId="0" quotePrefix="1" applyFont="1" applyBorder="1" applyAlignment="1">
      <alignment horizontal="left" vertical="center"/>
    </xf>
    <xf numFmtId="0" fontId="5" fillId="3" borderId="1" xfId="3" applyFont="1" applyFill="1" applyBorder="1" applyAlignment="1" applyProtection="1">
      <alignment horizontal="center" vertical="center" wrapText="1"/>
      <protection locked="0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0" fontId="5" fillId="7" borderId="1" xfId="0" quotePrefix="1" applyFont="1" applyFill="1" applyBorder="1" applyAlignment="1">
      <alignment horizontal="center" vertical="center"/>
    </xf>
    <xf numFmtId="0" fontId="8" fillId="7" borderId="1" xfId="2" quotePrefix="1" applyFont="1" applyFill="1" applyBorder="1" applyAlignment="1" applyProtection="1">
      <alignment horizontal="left" vertical="center"/>
    </xf>
    <xf numFmtId="0" fontId="8" fillId="7" borderId="1" xfId="2" applyFont="1" applyFill="1" applyBorder="1" applyAlignment="1" applyProtection="1">
      <alignment vertical="center"/>
    </xf>
    <xf numFmtId="0" fontId="5" fillId="7" borderId="1" xfId="0" quotePrefix="1" applyFont="1" applyFill="1" applyBorder="1" applyAlignment="1">
      <alignment horizontal="left" vertical="center"/>
    </xf>
    <xf numFmtId="0" fontId="8" fillId="0" borderId="1" xfId="2" applyFont="1" applyFill="1" applyBorder="1" applyAlignment="1" applyProtection="1"/>
    <xf numFmtId="0" fontId="6" fillId="5" borderId="1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/>
    </xf>
    <xf numFmtId="3" fontId="6" fillId="4" borderId="1" xfId="0" quotePrefix="1" applyNumberFormat="1" applyFont="1" applyFill="1" applyBorder="1" applyAlignment="1">
      <alignment horizontal="center" vertical="center" wrapText="1"/>
    </xf>
    <xf numFmtId="3" fontId="6" fillId="4" borderId="1" xfId="0" quotePrefix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3" fontId="6" fillId="4" borderId="6" xfId="0" quotePrefix="1" applyNumberFormat="1" applyFont="1" applyFill="1" applyBorder="1" applyAlignment="1">
      <alignment horizontal="center" vertical="center" wrapText="1"/>
    </xf>
    <xf numFmtId="3" fontId="6" fillId="4" borderId="7" xfId="0" quotePrefix="1" applyNumberFormat="1" applyFont="1" applyFill="1" applyBorder="1" applyAlignment="1">
      <alignment horizontal="center" vertical="center" wrapText="1"/>
    </xf>
    <xf numFmtId="0" fontId="6" fillId="6" borderId="1" xfId="0" quotePrefix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3" fontId="6" fillId="4" borderId="2" xfId="0" quotePrefix="1" applyNumberFormat="1" applyFont="1" applyFill="1" applyBorder="1" applyAlignment="1">
      <alignment horizontal="center" vertical="center" wrapText="1"/>
    </xf>
    <xf numFmtId="3" fontId="6" fillId="4" borderId="8" xfId="0" quotePrefix="1" applyNumberFormat="1" applyFont="1" applyFill="1" applyBorder="1" applyAlignment="1">
      <alignment horizontal="center" vertical="center" wrapText="1"/>
    </xf>
    <xf numFmtId="3" fontId="6" fillId="4" borderId="3" xfId="0" quotePrefix="1" applyNumberFormat="1" applyFont="1" applyFill="1" applyBorder="1" applyAlignment="1">
      <alignment horizontal="center" vertical="center" wrapText="1"/>
    </xf>
    <xf numFmtId="3" fontId="6" fillId="4" borderId="4" xfId="0" quotePrefix="1" applyNumberFormat="1" applyFont="1" applyFill="1" applyBorder="1" applyAlignment="1">
      <alignment horizontal="center" vertical="center" wrapText="1"/>
    </xf>
    <xf numFmtId="3" fontId="6" fillId="4" borderId="9" xfId="0" quotePrefix="1" applyNumberFormat="1" applyFont="1" applyFill="1" applyBorder="1" applyAlignment="1">
      <alignment horizontal="center" vertical="center" wrapText="1"/>
    </xf>
    <xf numFmtId="3" fontId="6" fillId="4" borderId="5" xfId="0" quotePrefix="1" applyNumberFormat="1" applyFont="1" applyFill="1" applyBorder="1" applyAlignment="1">
      <alignment horizontal="center" vertical="center" wrapText="1"/>
    </xf>
  </cellXfs>
  <cellStyles count="6">
    <cellStyle name="Hyperlink" xfId="2" builtinId="8"/>
    <cellStyle name="Normal" xfId="0" builtinId="0"/>
    <cellStyle name="Normal 2" xfId="4" xr:uid="{00000000-0005-0000-0000-000002000000}"/>
    <cellStyle name="Normal 2 10" xfId="1" xr:uid="{00000000-0005-0000-0000-000003000000}"/>
    <cellStyle name="Normal 3" xfId="3" xr:uid="{00000000-0005-0000-0000-000004000000}"/>
    <cellStyle name="Normal 3 2" xfId="5" xr:uid="{85F1B678-53AF-4916-9D93-4A094FFF8C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hoht@lpbank.com.vn" TargetMode="External"/><Relationship Id="rId13" Type="http://schemas.openxmlformats.org/officeDocument/2006/relationships/hyperlink" Target="mailto:binhph@lpbank.com.vn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anhpv7@lpbank.com.vn" TargetMode="External"/><Relationship Id="rId7" Type="http://schemas.openxmlformats.org/officeDocument/2006/relationships/hyperlink" Target="mailto:luongnt2@lpbank.com.vn" TargetMode="External"/><Relationship Id="rId12" Type="http://schemas.openxmlformats.org/officeDocument/2006/relationships/hyperlink" Target="mailto:tungtd2@lpbank.com.vn" TargetMode="External"/><Relationship Id="rId17" Type="http://schemas.openxmlformats.org/officeDocument/2006/relationships/hyperlink" Target="mailto:Huyenntt53@lpbank.com.vn" TargetMode="External"/><Relationship Id="rId2" Type="http://schemas.openxmlformats.org/officeDocument/2006/relationships/hyperlink" Target="mailto:Hiepnt@lpbank.com.vn" TargetMode="External"/><Relationship Id="rId16" Type="http://schemas.openxmlformats.org/officeDocument/2006/relationships/hyperlink" Target="mailto:haikd@lpbank.com.vn" TargetMode="External"/><Relationship Id="rId1" Type="http://schemas.openxmlformats.org/officeDocument/2006/relationships/hyperlink" Target="mailto:thuydn@lpbank.com.vn" TargetMode="External"/><Relationship Id="rId6" Type="http://schemas.openxmlformats.org/officeDocument/2006/relationships/hyperlink" Target="mailto:hieutt13@lpbank.com.vn" TargetMode="External"/><Relationship Id="rId11" Type="http://schemas.openxmlformats.org/officeDocument/2006/relationships/hyperlink" Target="mailto:Hoangnk1@lpbank.com.vn" TargetMode="External"/><Relationship Id="rId5" Type="http://schemas.openxmlformats.org/officeDocument/2006/relationships/hyperlink" Target="mailto:datnc3@lienvietpostbank.com.vn" TargetMode="External"/><Relationship Id="rId15" Type="http://schemas.openxmlformats.org/officeDocument/2006/relationships/hyperlink" Target="mailto:Phucdv2@lpbank.com.vn" TargetMode="External"/><Relationship Id="rId10" Type="http://schemas.openxmlformats.org/officeDocument/2006/relationships/hyperlink" Target="mailto:oanhdtk4@lpbank.com.vn" TargetMode="External"/><Relationship Id="rId4" Type="http://schemas.openxmlformats.org/officeDocument/2006/relationships/hyperlink" Target="mailto:diepnx@lpbank.com.vn" TargetMode="External"/><Relationship Id="rId9" Type="http://schemas.openxmlformats.org/officeDocument/2006/relationships/hyperlink" Target="mailto:anhlt32@lpbank.com.vn" TargetMode="External"/><Relationship Id="rId14" Type="http://schemas.openxmlformats.org/officeDocument/2006/relationships/hyperlink" Target="mailto:Ngantt34@lpbank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tabSelected="1" topLeftCell="A6" zoomScale="120" zoomScaleNormal="120" workbookViewId="0">
      <selection activeCell="F8" sqref="F8:F40"/>
    </sheetView>
  </sheetViews>
  <sheetFormatPr defaultColWidth="8.796875" defaultRowHeight="15.6" x14ac:dyDescent="0.3"/>
  <cols>
    <col min="1" max="1" width="4.8984375" style="2" customWidth="1"/>
    <col min="2" max="2" width="11.796875" style="2" bestFit="1" customWidth="1"/>
    <col min="3" max="3" width="25.09765625" style="2" customWidth="1"/>
    <col min="4" max="4" width="28.296875" style="2" customWidth="1"/>
    <col min="5" max="5" width="13" style="2" bestFit="1" customWidth="1"/>
    <col min="6" max="6" width="7.19921875" style="2" bestFit="1" customWidth="1"/>
    <col min="7" max="7" width="12.796875" style="2" customWidth="1"/>
    <col min="8" max="8" width="12.09765625" style="4" bestFit="1" customWidth="1"/>
    <col min="9" max="9" width="12.69921875" style="4" customWidth="1"/>
    <col min="10" max="10" width="14.3984375" style="2" customWidth="1"/>
    <col min="11" max="11" width="25.796875" style="2" customWidth="1"/>
    <col min="12" max="16384" width="8.796875" style="2"/>
  </cols>
  <sheetData>
    <row r="1" spans="1:11" ht="40.049999999999997" customHeight="1" x14ac:dyDescent="0.3">
      <c r="A1" s="42" t="s">
        <v>121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x14ac:dyDescent="0.3">
      <c r="A2" s="23"/>
      <c r="B2" s="23"/>
      <c r="C2" s="23"/>
      <c r="D2" s="23"/>
      <c r="E2" s="23"/>
      <c r="F2" s="23"/>
      <c r="G2" s="49"/>
      <c r="H2" s="49"/>
      <c r="I2" s="49"/>
      <c r="J2" s="49"/>
      <c r="K2" s="49"/>
    </row>
    <row r="3" spans="1:11" s="4" customFormat="1" ht="30.45" customHeight="1" x14ac:dyDescent="0.3">
      <c r="A3" s="55" t="s">
        <v>85</v>
      </c>
      <c r="B3" s="56"/>
      <c r="C3" s="57"/>
      <c r="D3" s="51" t="s">
        <v>76</v>
      </c>
      <c r="E3" s="44" t="s">
        <v>78</v>
      </c>
      <c r="F3" s="44" t="s">
        <v>77</v>
      </c>
      <c r="G3" s="3" t="s">
        <v>0</v>
      </c>
      <c r="H3" s="3" t="s">
        <v>106</v>
      </c>
      <c r="I3" s="9" t="s">
        <v>75</v>
      </c>
      <c r="J3" s="53" t="s">
        <v>65</v>
      </c>
      <c r="K3" s="53"/>
    </row>
    <row r="4" spans="1:11" s="4" customFormat="1" ht="27" customHeight="1" x14ac:dyDescent="0.3">
      <c r="A4" s="58"/>
      <c r="B4" s="59"/>
      <c r="C4" s="60"/>
      <c r="D4" s="52"/>
      <c r="E4" s="45"/>
      <c r="F4" s="45"/>
      <c r="G4" s="24">
        <f>COUNTA(A8)</f>
        <v>1</v>
      </c>
      <c r="H4" s="24">
        <f>COUNTA(A10:A22)</f>
        <v>13</v>
      </c>
      <c r="I4" s="10">
        <f>COUNTA(A24:A40)</f>
        <v>17</v>
      </c>
      <c r="J4" s="54">
        <f>G4+H4+I4</f>
        <v>31</v>
      </c>
      <c r="K4" s="54"/>
    </row>
    <row r="5" spans="1:11" s="8" customFormat="1" x14ac:dyDescent="0.3">
      <c r="A5" s="46" t="s">
        <v>1</v>
      </c>
      <c r="B5" s="46" t="s">
        <v>2</v>
      </c>
      <c r="C5" s="47" t="s">
        <v>3</v>
      </c>
      <c r="D5" s="22"/>
      <c r="E5" s="25"/>
      <c r="F5" s="48" t="s">
        <v>4</v>
      </c>
      <c r="G5" s="47" t="s">
        <v>5</v>
      </c>
      <c r="H5" s="50" t="s">
        <v>6</v>
      </c>
      <c r="I5" s="48" t="s">
        <v>7</v>
      </c>
      <c r="J5" s="48"/>
      <c r="K5" s="47" t="s">
        <v>8</v>
      </c>
    </row>
    <row r="6" spans="1:11" s="8" customFormat="1" x14ac:dyDescent="0.3">
      <c r="A6" s="46"/>
      <c r="B6" s="46"/>
      <c r="C6" s="47"/>
      <c r="D6" s="22"/>
      <c r="E6" s="25"/>
      <c r="F6" s="48"/>
      <c r="G6" s="47"/>
      <c r="H6" s="50"/>
      <c r="I6" s="7" t="s">
        <v>9</v>
      </c>
      <c r="J6" s="7" t="s">
        <v>10</v>
      </c>
      <c r="K6" s="47"/>
    </row>
    <row r="7" spans="1:11" ht="18.45" hidden="1" customHeight="1" x14ac:dyDescent="0.3">
      <c r="A7" s="41" t="s">
        <v>104</v>
      </c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18.45" customHeight="1" x14ac:dyDescent="0.3">
      <c r="A8" s="26">
        <v>1</v>
      </c>
      <c r="B8" s="11">
        <v>2012102659</v>
      </c>
      <c r="C8" s="27" t="s">
        <v>102</v>
      </c>
      <c r="D8" s="27" t="s">
        <v>122</v>
      </c>
      <c r="E8" s="28" t="s">
        <v>84</v>
      </c>
      <c r="F8" s="11" t="s">
        <v>11</v>
      </c>
      <c r="G8" s="5">
        <v>46064</v>
      </c>
      <c r="H8" s="1">
        <v>30938</v>
      </c>
      <c r="I8" s="11">
        <v>66568</v>
      </c>
      <c r="J8" s="12" t="s">
        <v>113</v>
      </c>
      <c r="K8" s="29" t="s">
        <v>103</v>
      </c>
    </row>
    <row r="9" spans="1:11" ht="18.45" hidden="1" customHeight="1" x14ac:dyDescent="0.3">
      <c r="A9" s="6" t="s">
        <v>12</v>
      </c>
      <c r="B9" s="6"/>
      <c r="C9" s="6"/>
      <c r="D9" s="6"/>
      <c r="E9" s="6"/>
      <c r="F9" s="6"/>
      <c r="G9" s="6"/>
      <c r="H9" s="6"/>
      <c r="I9" s="13"/>
      <c r="J9" s="14"/>
      <c r="K9" s="6"/>
    </row>
    <row r="10" spans="1:11" ht="18.45" customHeight="1" x14ac:dyDescent="0.3">
      <c r="A10" s="26">
        <v>1</v>
      </c>
      <c r="B10" s="11">
        <v>2011101931</v>
      </c>
      <c r="C10" s="27" t="s">
        <v>71</v>
      </c>
      <c r="D10" s="27" t="s">
        <v>79</v>
      </c>
      <c r="E10" s="28" t="s">
        <v>105</v>
      </c>
      <c r="F10" s="11" t="s">
        <v>11</v>
      </c>
      <c r="G10" s="1">
        <v>41014</v>
      </c>
      <c r="H10" s="1">
        <v>31950</v>
      </c>
      <c r="I10" s="11">
        <v>63209</v>
      </c>
      <c r="J10" s="11" t="s">
        <v>13</v>
      </c>
      <c r="K10" s="30" t="s">
        <v>14</v>
      </c>
    </row>
    <row r="11" spans="1:11" ht="18.45" customHeight="1" x14ac:dyDescent="0.3">
      <c r="A11" s="26">
        <v>2</v>
      </c>
      <c r="B11" s="11">
        <v>3000024714</v>
      </c>
      <c r="C11" s="27" t="s">
        <v>74</v>
      </c>
      <c r="D11" s="27" t="s">
        <v>79</v>
      </c>
      <c r="E11" s="28" t="s">
        <v>105</v>
      </c>
      <c r="F11" s="11" t="s">
        <v>11</v>
      </c>
      <c r="G11" s="1">
        <v>45154</v>
      </c>
      <c r="H11" s="1">
        <v>29911</v>
      </c>
      <c r="I11" s="11">
        <v>63227</v>
      </c>
      <c r="J11" s="16" t="s">
        <v>120</v>
      </c>
      <c r="K11" s="30" t="s">
        <v>64</v>
      </c>
    </row>
    <row r="12" spans="1:11" ht="18.45" customHeight="1" x14ac:dyDescent="0.3">
      <c r="A12" s="26">
        <v>3</v>
      </c>
      <c r="B12" s="11">
        <v>3000032295</v>
      </c>
      <c r="C12" s="27" t="s">
        <v>89</v>
      </c>
      <c r="D12" s="27" t="s">
        <v>90</v>
      </c>
      <c r="E12" s="28" t="s">
        <v>105</v>
      </c>
      <c r="F12" s="11" t="s">
        <v>11</v>
      </c>
      <c r="G12" s="1">
        <v>45910</v>
      </c>
      <c r="H12" s="1">
        <v>28199</v>
      </c>
      <c r="I12" s="11">
        <v>63313</v>
      </c>
      <c r="J12" s="16" t="s">
        <v>114</v>
      </c>
      <c r="K12" s="31" t="s">
        <v>91</v>
      </c>
    </row>
    <row r="13" spans="1:11" ht="18.45" customHeight="1" x14ac:dyDescent="0.3">
      <c r="A13" s="26">
        <v>4</v>
      </c>
      <c r="B13" s="11">
        <v>3000009534</v>
      </c>
      <c r="C13" s="32" t="s">
        <v>72</v>
      </c>
      <c r="D13" s="32" t="s">
        <v>80</v>
      </c>
      <c r="E13" s="28" t="s">
        <v>105</v>
      </c>
      <c r="F13" s="11" t="s">
        <v>11</v>
      </c>
      <c r="G13" s="1">
        <v>45174</v>
      </c>
      <c r="H13" s="1">
        <v>32313</v>
      </c>
      <c r="I13" s="11">
        <v>63208</v>
      </c>
      <c r="J13" s="12" t="s">
        <v>15</v>
      </c>
      <c r="K13" s="30" t="s">
        <v>16</v>
      </c>
    </row>
    <row r="14" spans="1:11" ht="18.45" customHeight="1" x14ac:dyDescent="0.3">
      <c r="A14" s="26">
        <v>5</v>
      </c>
      <c r="B14" s="11">
        <v>3000009186</v>
      </c>
      <c r="C14" s="32" t="s">
        <v>73</v>
      </c>
      <c r="D14" s="32" t="s">
        <v>80</v>
      </c>
      <c r="E14" s="28" t="s">
        <v>105</v>
      </c>
      <c r="F14" s="11" t="s">
        <v>11</v>
      </c>
      <c r="G14" s="1">
        <v>42935</v>
      </c>
      <c r="H14" s="1">
        <v>33351</v>
      </c>
      <c r="I14" s="11">
        <v>63230</v>
      </c>
      <c r="J14" s="11" t="s">
        <v>17</v>
      </c>
      <c r="K14" s="30" t="s">
        <v>18</v>
      </c>
    </row>
    <row r="15" spans="1:11" ht="18.45" customHeight="1" x14ac:dyDescent="0.3">
      <c r="A15" s="26">
        <v>6</v>
      </c>
      <c r="B15" s="33">
        <v>3000023365</v>
      </c>
      <c r="C15" s="27" t="s">
        <v>33</v>
      </c>
      <c r="D15" s="27" t="s">
        <v>81</v>
      </c>
      <c r="E15" s="28" t="s">
        <v>105</v>
      </c>
      <c r="F15" s="11" t="s">
        <v>11</v>
      </c>
      <c r="G15" s="1">
        <v>44910</v>
      </c>
      <c r="H15" s="1">
        <v>36382</v>
      </c>
      <c r="I15" s="11">
        <v>63204</v>
      </c>
      <c r="J15" s="11" t="s">
        <v>34</v>
      </c>
      <c r="K15" s="30" t="s">
        <v>35</v>
      </c>
    </row>
    <row r="16" spans="1:11" s="20" customFormat="1" ht="18.45" customHeight="1" x14ac:dyDescent="0.3">
      <c r="A16" s="26">
        <v>7</v>
      </c>
      <c r="B16" s="19">
        <v>3000029502</v>
      </c>
      <c r="C16" s="34" t="s">
        <v>61</v>
      </c>
      <c r="D16" s="34" t="s">
        <v>81</v>
      </c>
      <c r="E16" s="35" t="s">
        <v>105</v>
      </c>
      <c r="F16" s="19" t="s">
        <v>42</v>
      </c>
      <c r="G16" s="18">
        <v>45505</v>
      </c>
      <c r="H16" s="18">
        <v>31445</v>
      </c>
      <c r="I16" s="19">
        <v>63811</v>
      </c>
      <c r="J16" s="36" t="s">
        <v>62</v>
      </c>
      <c r="K16" s="37" t="s">
        <v>63</v>
      </c>
    </row>
    <row r="17" spans="1:11" s="20" customFormat="1" ht="18.45" customHeight="1" x14ac:dyDescent="0.3">
      <c r="A17" s="26">
        <v>8</v>
      </c>
      <c r="B17" s="19">
        <v>3000014131</v>
      </c>
      <c r="C17" s="34" t="s">
        <v>49</v>
      </c>
      <c r="D17" s="34" t="s">
        <v>82</v>
      </c>
      <c r="E17" s="35" t="s">
        <v>105</v>
      </c>
      <c r="F17" s="19" t="s">
        <v>42</v>
      </c>
      <c r="G17" s="18">
        <v>44760</v>
      </c>
      <c r="H17" s="18">
        <v>33435</v>
      </c>
      <c r="I17" s="19">
        <v>63151</v>
      </c>
      <c r="J17" s="19" t="s">
        <v>50</v>
      </c>
      <c r="K17" s="38" t="s">
        <v>51</v>
      </c>
    </row>
    <row r="18" spans="1:11" s="20" customFormat="1" ht="18.45" customHeight="1" x14ac:dyDescent="0.3">
      <c r="A18" s="26">
        <v>9</v>
      </c>
      <c r="B18" s="19">
        <v>3000032512</v>
      </c>
      <c r="C18" s="34" t="s">
        <v>86</v>
      </c>
      <c r="D18" s="39" t="s">
        <v>80</v>
      </c>
      <c r="E18" s="35" t="s">
        <v>105</v>
      </c>
      <c r="F18" s="19" t="s">
        <v>11</v>
      </c>
      <c r="G18" s="18">
        <v>45931</v>
      </c>
      <c r="H18" s="18">
        <v>30005</v>
      </c>
      <c r="I18" s="19">
        <v>63845</v>
      </c>
      <c r="J18" s="21" t="s">
        <v>88</v>
      </c>
      <c r="K18" s="38" t="s">
        <v>87</v>
      </c>
    </row>
    <row r="19" spans="1:11" s="20" customFormat="1" x14ac:dyDescent="0.3">
      <c r="A19" s="26">
        <v>10</v>
      </c>
      <c r="B19" s="19">
        <v>3000032881</v>
      </c>
      <c r="C19" s="34" t="s">
        <v>92</v>
      </c>
      <c r="D19" s="34" t="s">
        <v>81</v>
      </c>
      <c r="E19" s="35" t="s">
        <v>105</v>
      </c>
      <c r="F19" s="19" t="s">
        <v>11</v>
      </c>
      <c r="G19" s="18">
        <v>45985</v>
      </c>
      <c r="H19" s="18">
        <v>30873</v>
      </c>
      <c r="I19" s="19">
        <v>63058</v>
      </c>
      <c r="J19" s="36" t="s">
        <v>115</v>
      </c>
      <c r="K19" s="38" t="s">
        <v>93</v>
      </c>
    </row>
    <row r="20" spans="1:11" x14ac:dyDescent="0.3">
      <c r="A20" s="26">
        <v>11</v>
      </c>
      <c r="B20" s="11">
        <v>2014104625</v>
      </c>
      <c r="C20" s="27" t="s">
        <v>97</v>
      </c>
      <c r="D20" s="32" t="s">
        <v>80</v>
      </c>
      <c r="E20" s="28" t="s">
        <v>105</v>
      </c>
      <c r="F20" s="11" t="s">
        <v>11</v>
      </c>
      <c r="G20" s="1">
        <v>46023</v>
      </c>
      <c r="H20" s="1">
        <v>29769</v>
      </c>
      <c r="I20" s="11">
        <v>63206</v>
      </c>
      <c r="J20" s="15" t="s">
        <v>116</v>
      </c>
      <c r="K20" s="30" t="s">
        <v>98</v>
      </c>
    </row>
    <row r="21" spans="1:11" x14ac:dyDescent="0.3">
      <c r="A21" s="26">
        <v>12</v>
      </c>
      <c r="B21" s="11">
        <v>3000034211</v>
      </c>
      <c r="C21" s="27" t="s">
        <v>108</v>
      </c>
      <c r="D21" s="32" t="s">
        <v>80</v>
      </c>
      <c r="E21" s="28" t="s">
        <v>105</v>
      </c>
      <c r="F21" s="11" t="s">
        <v>11</v>
      </c>
      <c r="G21" s="1">
        <v>46167</v>
      </c>
      <c r="H21" s="1">
        <v>33104</v>
      </c>
      <c r="I21" s="11">
        <v>63882</v>
      </c>
      <c r="J21" s="15" t="s">
        <v>109</v>
      </c>
      <c r="K21" s="30" t="s">
        <v>110</v>
      </c>
    </row>
    <row r="22" spans="1:11" x14ac:dyDescent="0.3">
      <c r="A22" s="26">
        <v>13</v>
      </c>
      <c r="B22" s="11">
        <v>3000034560</v>
      </c>
      <c r="C22" s="27" t="s">
        <v>123</v>
      </c>
      <c r="D22" s="32" t="s">
        <v>81</v>
      </c>
      <c r="E22" s="28" t="s">
        <v>105</v>
      </c>
      <c r="F22" s="11" t="s">
        <v>11</v>
      </c>
      <c r="G22" s="1">
        <v>46237</v>
      </c>
      <c r="H22" s="1">
        <v>31158</v>
      </c>
      <c r="I22" s="11">
        <v>66228</v>
      </c>
      <c r="J22" s="15" t="s">
        <v>125</v>
      </c>
      <c r="K22" s="30" t="s">
        <v>124</v>
      </c>
    </row>
    <row r="23" spans="1:11" ht="18.45" hidden="1" customHeight="1" x14ac:dyDescent="0.3">
      <c r="A23" s="6" t="s">
        <v>111</v>
      </c>
      <c r="B23" s="6"/>
      <c r="C23" s="6"/>
      <c r="D23" s="6"/>
      <c r="E23" s="6"/>
      <c r="F23" s="6"/>
      <c r="G23" s="6"/>
      <c r="H23" s="6"/>
      <c r="I23" s="13"/>
      <c r="J23" s="14"/>
      <c r="K23" s="6"/>
    </row>
    <row r="24" spans="1:11" ht="18.45" customHeight="1" x14ac:dyDescent="0.3">
      <c r="A24" s="26">
        <v>1</v>
      </c>
      <c r="B24" s="11">
        <v>3000026295</v>
      </c>
      <c r="C24" s="27" t="s">
        <v>68</v>
      </c>
      <c r="D24" s="27" t="s">
        <v>79</v>
      </c>
      <c r="E24" s="28" t="s">
        <v>83</v>
      </c>
      <c r="F24" s="11" t="s">
        <v>11</v>
      </c>
      <c r="G24" s="1">
        <v>45369</v>
      </c>
      <c r="H24" s="1">
        <v>29502</v>
      </c>
      <c r="I24" s="11">
        <v>64237</v>
      </c>
      <c r="J24" s="15" t="s">
        <v>117</v>
      </c>
      <c r="K24" s="30" t="s">
        <v>19</v>
      </c>
    </row>
    <row r="25" spans="1:11" ht="18.45" customHeight="1" x14ac:dyDescent="0.3">
      <c r="A25" s="26">
        <v>2</v>
      </c>
      <c r="B25" s="11">
        <v>3000012892</v>
      </c>
      <c r="C25" s="27" t="s">
        <v>69</v>
      </c>
      <c r="D25" s="27" t="s">
        <v>79</v>
      </c>
      <c r="E25" s="28" t="s">
        <v>83</v>
      </c>
      <c r="F25" s="11" t="s">
        <v>42</v>
      </c>
      <c r="G25" s="1">
        <v>43397</v>
      </c>
      <c r="H25" s="1">
        <v>34186</v>
      </c>
      <c r="I25" s="11">
        <v>63295</v>
      </c>
      <c r="J25" s="11" t="s">
        <v>43</v>
      </c>
      <c r="K25" s="30" t="s">
        <v>44</v>
      </c>
    </row>
    <row r="26" spans="1:11" ht="18.45" customHeight="1" x14ac:dyDescent="0.3">
      <c r="A26" s="26">
        <v>3</v>
      </c>
      <c r="B26" s="11">
        <v>2012102827</v>
      </c>
      <c r="C26" s="27" t="s">
        <v>70</v>
      </c>
      <c r="D26" s="27" t="s">
        <v>79</v>
      </c>
      <c r="E26" s="28" t="s">
        <v>83</v>
      </c>
      <c r="F26" s="11" t="s">
        <v>42</v>
      </c>
      <c r="G26" s="1">
        <v>41045</v>
      </c>
      <c r="H26" s="1">
        <v>28862</v>
      </c>
      <c r="I26" s="11">
        <v>63153</v>
      </c>
      <c r="J26" s="11" t="s">
        <v>45</v>
      </c>
      <c r="K26" s="30" t="s">
        <v>46</v>
      </c>
    </row>
    <row r="27" spans="1:11" ht="18.45" customHeight="1" x14ac:dyDescent="0.3">
      <c r="A27" s="26">
        <v>4</v>
      </c>
      <c r="B27" s="11">
        <v>3000024671</v>
      </c>
      <c r="C27" s="32" t="s">
        <v>66</v>
      </c>
      <c r="D27" s="32" t="s">
        <v>80</v>
      </c>
      <c r="E27" s="28" t="s">
        <v>83</v>
      </c>
      <c r="F27" s="11" t="s">
        <v>11</v>
      </c>
      <c r="G27" s="1">
        <v>45140</v>
      </c>
      <c r="H27" s="1">
        <v>29606</v>
      </c>
      <c r="I27" s="11">
        <v>62227</v>
      </c>
      <c r="J27" s="12" t="s">
        <v>20</v>
      </c>
      <c r="K27" s="40" t="s">
        <v>21</v>
      </c>
    </row>
    <row r="28" spans="1:11" ht="18.45" customHeight="1" x14ac:dyDescent="0.3">
      <c r="A28" s="26">
        <v>5</v>
      </c>
      <c r="B28" s="11">
        <v>3000009449</v>
      </c>
      <c r="C28" s="32" t="s">
        <v>67</v>
      </c>
      <c r="D28" s="32" t="s">
        <v>80</v>
      </c>
      <c r="E28" s="28" t="s">
        <v>83</v>
      </c>
      <c r="F28" s="11" t="s">
        <v>11</v>
      </c>
      <c r="G28" s="1">
        <v>42983</v>
      </c>
      <c r="H28" s="1">
        <v>33483</v>
      </c>
      <c r="I28" s="11">
        <v>63377</v>
      </c>
      <c r="J28" s="11" t="s">
        <v>22</v>
      </c>
      <c r="K28" s="30" t="s">
        <v>23</v>
      </c>
    </row>
    <row r="29" spans="1:11" ht="18.45" customHeight="1" x14ac:dyDescent="0.3">
      <c r="A29" s="26">
        <v>6</v>
      </c>
      <c r="B29" s="11">
        <v>3000016051</v>
      </c>
      <c r="C29" s="27" t="s">
        <v>36</v>
      </c>
      <c r="D29" s="32" t="s">
        <v>80</v>
      </c>
      <c r="E29" s="28" t="s">
        <v>83</v>
      </c>
      <c r="F29" s="11" t="s">
        <v>11</v>
      </c>
      <c r="G29" s="1">
        <v>43937</v>
      </c>
      <c r="H29" s="1">
        <v>33786</v>
      </c>
      <c r="I29" s="11">
        <v>63666</v>
      </c>
      <c r="J29" s="12" t="s">
        <v>119</v>
      </c>
      <c r="K29" s="30" t="s">
        <v>37</v>
      </c>
    </row>
    <row r="30" spans="1:11" ht="18.45" customHeight="1" x14ac:dyDescent="0.3">
      <c r="A30" s="26">
        <v>7</v>
      </c>
      <c r="B30" s="11">
        <v>3000008918</v>
      </c>
      <c r="C30" s="27" t="s">
        <v>24</v>
      </c>
      <c r="D30" s="27" t="s">
        <v>81</v>
      </c>
      <c r="E30" s="28" t="s">
        <v>83</v>
      </c>
      <c r="F30" s="11" t="s">
        <v>11</v>
      </c>
      <c r="G30" s="1">
        <v>42902</v>
      </c>
      <c r="H30" s="1">
        <v>32753</v>
      </c>
      <c r="I30" s="11">
        <v>63223</v>
      </c>
      <c r="J30" s="11" t="s">
        <v>25</v>
      </c>
      <c r="K30" s="30" t="s">
        <v>26</v>
      </c>
    </row>
    <row r="31" spans="1:11" ht="18.45" customHeight="1" x14ac:dyDescent="0.3">
      <c r="A31" s="26">
        <v>8</v>
      </c>
      <c r="B31" s="11">
        <v>3000017208</v>
      </c>
      <c r="C31" s="27" t="s">
        <v>27</v>
      </c>
      <c r="D31" s="27" t="s">
        <v>81</v>
      </c>
      <c r="E31" s="28" t="s">
        <v>83</v>
      </c>
      <c r="F31" s="11" t="s">
        <v>11</v>
      </c>
      <c r="G31" s="1">
        <v>44137</v>
      </c>
      <c r="H31" s="1">
        <v>34510</v>
      </c>
      <c r="I31" s="11">
        <v>63378</v>
      </c>
      <c r="J31" s="11" t="s">
        <v>28</v>
      </c>
      <c r="K31" s="30" t="s">
        <v>29</v>
      </c>
    </row>
    <row r="32" spans="1:11" ht="18.45" customHeight="1" x14ac:dyDescent="0.3">
      <c r="A32" s="26">
        <v>9</v>
      </c>
      <c r="B32" s="11">
        <v>3000017369</v>
      </c>
      <c r="C32" s="27" t="s">
        <v>30</v>
      </c>
      <c r="D32" s="27" t="s">
        <v>81</v>
      </c>
      <c r="E32" s="28" t="s">
        <v>83</v>
      </c>
      <c r="F32" s="11" t="s">
        <v>11</v>
      </c>
      <c r="G32" s="1">
        <v>44151</v>
      </c>
      <c r="H32" s="1">
        <v>35117</v>
      </c>
      <c r="I32" s="11">
        <v>63380</v>
      </c>
      <c r="J32" s="11" t="s">
        <v>31</v>
      </c>
      <c r="K32" s="30" t="s">
        <v>32</v>
      </c>
    </row>
    <row r="33" spans="1:11" ht="18.45" customHeight="1" x14ac:dyDescent="0.3">
      <c r="A33" s="26">
        <v>10</v>
      </c>
      <c r="B33" s="11">
        <v>3000023981</v>
      </c>
      <c r="C33" s="27" t="s">
        <v>38</v>
      </c>
      <c r="D33" s="27" t="s">
        <v>81</v>
      </c>
      <c r="E33" s="28" t="s">
        <v>83</v>
      </c>
      <c r="F33" s="11" t="s">
        <v>11</v>
      </c>
      <c r="G33" s="1">
        <v>45036</v>
      </c>
      <c r="H33" s="1">
        <v>34224</v>
      </c>
      <c r="I33" s="11">
        <v>63149</v>
      </c>
      <c r="J33" s="12" t="s">
        <v>107</v>
      </c>
      <c r="K33" s="30" t="s">
        <v>39</v>
      </c>
    </row>
    <row r="34" spans="1:11" ht="18.45" customHeight="1" x14ac:dyDescent="0.3">
      <c r="A34" s="26">
        <v>11</v>
      </c>
      <c r="B34" s="11">
        <v>3000026026</v>
      </c>
      <c r="C34" s="27" t="s">
        <v>40</v>
      </c>
      <c r="D34" s="27" t="s">
        <v>81</v>
      </c>
      <c r="E34" s="28" t="s">
        <v>83</v>
      </c>
      <c r="F34" s="11" t="s">
        <v>11</v>
      </c>
      <c r="G34" s="1">
        <v>45307</v>
      </c>
      <c r="H34" s="1">
        <v>32428</v>
      </c>
      <c r="I34" s="11">
        <v>64137</v>
      </c>
      <c r="J34" s="12" t="s">
        <v>118</v>
      </c>
      <c r="K34" s="29" t="s">
        <v>41</v>
      </c>
    </row>
    <row r="35" spans="1:11" ht="18.45" customHeight="1" x14ac:dyDescent="0.3">
      <c r="A35" s="26">
        <v>12</v>
      </c>
      <c r="B35" s="11">
        <v>2012002833</v>
      </c>
      <c r="C35" s="27" t="s">
        <v>47</v>
      </c>
      <c r="D35" s="32" t="s">
        <v>80</v>
      </c>
      <c r="E35" s="28" t="s">
        <v>83</v>
      </c>
      <c r="F35" s="11" t="s">
        <v>42</v>
      </c>
      <c r="G35" s="1">
        <v>42917</v>
      </c>
      <c r="H35" s="1">
        <v>29681</v>
      </c>
      <c r="I35" s="11">
        <v>63161</v>
      </c>
      <c r="J35" s="12" t="s">
        <v>112</v>
      </c>
      <c r="K35" s="30" t="s">
        <v>48</v>
      </c>
    </row>
    <row r="36" spans="1:11" s="20" customFormat="1" ht="18.45" customHeight="1" x14ac:dyDescent="0.3">
      <c r="A36" s="26">
        <v>13</v>
      </c>
      <c r="B36" s="19">
        <v>3000012165</v>
      </c>
      <c r="C36" s="34" t="s">
        <v>55</v>
      </c>
      <c r="D36" s="39" t="s">
        <v>80</v>
      </c>
      <c r="E36" s="35" t="s">
        <v>83</v>
      </c>
      <c r="F36" s="19" t="s">
        <v>42</v>
      </c>
      <c r="G36" s="18">
        <v>43252</v>
      </c>
      <c r="H36" s="18">
        <v>28253</v>
      </c>
      <c r="I36" s="19">
        <v>63999</v>
      </c>
      <c r="J36" s="19" t="s">
        <v>56</v>
      </c>
      <c r="K36" s="37" t="s">
        <v>57</v>
      </c>
    </row>
    <row r="37" spans="1:11" ht="18.45" customHeight="1" x14ac:dyDescent="0.3">
      <c r="A37" s="26">
        <v>14</v>
      </c>
      <c r="B37" s="11">
        <v>2011101833</v>
      </c>
      <c r="C37" s="27" t="s">
        <v>52</v>
      </c>
      <c r="D37" s="27" t="s">
        <v>81</v>
      </c>
      <c r="E37" s="28" t="s">
        <v>83</v>
      </c>
      <c r="F37" s="11" t="s">
        <v>42</v>
      </c>
      <c r="G37" s="1">
        <v>40596</v>
      </c>
      <c r="H37" s="1">
        <v>30407</v>
      </c>
      <c r="I37" s="11">
        <v>63292</v>
      </c>
      <c r="J37" s="11" t="s">
        <v>53</v>
      </c>
      <c r="K37" s="30" t="s">
        <v>54</v>
      </c>
    </row>
    <row r="38" spans="1:11" ht="18.45" customHeight="1" x14ac:dyDescent="0.3">
      <c r="A38" s="26">
        <v>15</v>
      </c>
      <c r="B38" s="11">
        <v>3000017973</v>
      </c>
      <c r="C38" s="27" t="s">
        <v>58</v>
      </c>
      <c r="D38" s="27" t="s">
        <v>81</v>
      </c>
      <c r="E38" s="28" t="s">
        <v>83</v>
      </c>
      <c r="F38" s="11" t="s">
        <v>42</v>
      </c>
      <c r="G38" s="1">
        <v>44256</v>
      </c>
      <c r="H38" s="1">
        <v>33403</v>
      </c>
      <c r="I38" s="11">
        <v>63513</v>
      </c>
      <c r="J38" s="11" t="s">
        <v>59</v>
      </c>
      <c r="K38" s="30" t="s">
        <v>60</v>
      </c>
    </row>
    <row r="39" spans="1:11" ht="18.45" customHeight="1" x14ac:dyDescent="0.3">
      <c r="A39" s="26">
        <v>16</v>
      </c>
      <c r="B39" s="11">
        <v>3000032830</v>
      </c>
      <c r="C39" s="27" t="s">
        <v>94</v>
      </c>
      <c r="D39" s="27" t="s">
        <v>81</v>
      </c>
      <c r="E39" s="28" t="s">
        <v>83</v>
      </c>
      <c r="F39" s="11" t="s">
        <v>11</v>
      </c>
      <c r="G39" s="1">
        <v>45971</v>
      </c>
      <c r="H39" s="1">
        <v>33515</v>
      </c>
      <c r="I39" s="11">
        <v>65963</v>
      </c>
      <c r="J39" s="15" t="s">
        <v>95</v>
      </c>
      <c r="K39" s="30" t="s">
        <v>96</v>
      </c>
    </row>
    <row r="40" spans="1:11" x14ac:dyDescent="0.3">
      <c r="A40" s="26">
        <v>17</v>
      </c>
      <c r="B40" s="11">
        <v>3000033194</v>
      </c>
      <c r="C40" s="27" t="s">
        <v>99</v>
      </c>
      <c r="D40" s="27" t="s">
        <v>81</v>
      </c>
      <c r="E40" s="28" t="s">
        <v>83</v>
      </c>
      <c r="F40" s="11" t="s">
        <v>11</v>
      </c>
      <c r="G40" s="1">
        <v>46034</v>
      </c>
      <c r="H40" s="1">
        <v>33185</v>
      </c>
      <c r="I40" s="17">
        <v>66068</v>
      </c>
      <c r="J40" s="15" t="s">
        <v>101</v>
      </c>
      <c r="K40" s="30" t="s">
        <v>100</v>
      </c>
    </row>
  </sheetData>
  <autoFilter ref="A6:K40" xr:uid="{00000000-0001-0000-0100-000000000000}"/>
  <mergeCells count="17">
    <mergeCell ref="A3:C4"/>
    <mergeCell ref="A7:K7"/>
    <mergeCell ref="A1:K1"/>
    <mergeCell ref="F3:F4"/>
    <mergeCell ref="A5:A6"/>
    <mergeCell ref="B5:B6"/>
    <mergeCell ref="C5:C6"/>
    <mergeCell ref="F5:F6"/>
    <mergeCell ref="G2:K2"/>
    <mergeCell ref="G5:G6"/>
    <mergeCell ref="H5:H6"/>
    <mergeCell ref="I5:J5"/>
    <mergeCell ref="K5:K6"/>
    <mergeCell ref="D3:D4"/>
    <mergeCell ref="E3:E4"/>
    <mergeCell ref="J3:K3"/>
    <mergeCell ref="J4:K4"/>
  </mergeCells>
  <hyperlinks>
    <hyperlink ref="K13" r:id="rId1" xr:uid="{00000000-0004-0000-0100-000000000000}"/>
    <hyperlink ref="K8" r:id="rId2" xr:uid="{00000000-0004-0000-0100-000001000000}"/>
    <hyperlink ref="K24" r:id="rId3" xr:uid="{00000000-0004-0000-0100-000003000000}"/>
    <hyperlink ref="K27" r:id="rId4" xr:uid="{00000000-0004-0000-0100-000005000000}"/>
    <hyperlink ref="K33" r:id="rId5" display="datnc3@lienvietpostbank.com.vn" xr:uid="{00000000-0004-0000-0100-000006000000}"/>
    <hyperlink ref="K34" r:id="rId6" xr:uid="{00000000-0004-0000-0100-000008000000}"/>
    <hyperlink ref="K11" r:id="rId7" xr:uid="{00000000-0004-0000-0100-00000A000000}"/>
    <hyperlink ref="K16" r:id="rId8" xr:uid="{00000000-0004-0000-0100-00000B000000}"/>
    <hyperlink ref="K18" r:id="rId9" xr:uid="{49A57BAC-F59C-4913-B5C0-C3FAAA512C12}"/>
    <hyperlink ref="K17" r:id="rId10" xr:uid="{A6A4D378-CF5C-4580-950C-4391FC5FD13A}"/>
    <hyperlink ref="K12" r:id="rId11" xr:uid="{50A26402-FC7C-4BD4-8E90-228099400CF3}"/>
    <hyperlink ref="K39" r:id="rId12" xr:uid="{90CB0F41-27F4-4BF1-982A-EF0EC84C4291}"/>
    <hyperlink ref="K20" r:id="rId13" xr:uid="{7B225E65-D16C-4653-A949-7B39846DA035}"/>
    <hyperlink ref="K40" r:id="rId14" xr:uid="{56CCAA4C-FC38-4635-8F1D-4EC9C103E50B}"/>
    <hyperlink ref="K21" r:id="rId15" xr:uid="{31BFEBEA-51E4-4EDF-9551-AF8E3185C0E4}"/>
    <hyperlink ref="K19" r:id="rId16" xr:uid="{E9197AF4-EA0C-4A4F-A379-73ECA982F970}"/>
    <hyperlink ref="K22" r:id="rId17" tooltip="mailto:huyenntt53@lpbank.com.vn" display="mailto:Huyenntt53@lpbank.com.vn" xr:uid="{4F2D8CF7-2541-4800-A907-3EBF831724BB}"/>
  </hyperlinks>
  <pageMargins left="0.70866141732283472" right="0.51181102362204722" top="0.55118110236220474" bottom="0.55118110236220474" header="0.31496062992125984" footer="0.31496062992125984"/>
  <pageSetup paperSize="9" orientation="landscape"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f4dd9ae-1bcc-4bac-9dae-ca58cc1b9a4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76F59C6A2294EACD46D0B48924651" ma:contentTypeVersion="10" ma:contentTypeDescription="Create a new document." ma:contentTypeScope="" ma:versionID="ff61b6b707c5080b8f2d79bacbd5719b">
  <xsd:schema xmlns:xsd="http://www.w3.org/2001/XMLSchema" xmlns:xs="http://www.w3.org/2001/XMLSchema" xmlns:p="http://schemas.microsoft.com/office/2006/metadata/properties" xmlns:ns3="0f4dd9ae-1bcc-4bac-9dae-ca58cc1b9a47" targetNamespace="http://schemas.microsoft.com/office/2006/metadata/properties" ma:root="true" ma:fieldsID="8a68753049dcc4204991d31c28790f22" ns3:_="">
    <xsd:import namespace="0f4dd9ae-1bcc-4bac-9dae-ca58cc1b9a4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dd9ae-1bcc-4bac-9dae-ca58cc1b9a4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C56504-22B4-4D2D-91B4-A265FC1683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842FA8-CF1A-41C5-8A67-FF8BFFDBFD82}">
  <ds:schemaRefs>
    <ds:schemaRef ds:uri="http://purl.org/dc/elements/1.1/"/>
    <ds:schemaRef ds:uri="0f4dd9ae-1bcc-4bac-9dae-ca58cc1b9a47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E7C3E62-41CE-490B-84A6-FC72B888A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4dd9ae-1bcc-4bac-9dae-ca58cc1b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chinhnt6</dc:creator>
  <cp:lastModifiedBy>Phạm Đức Thành</cp:lastModifiedBy>
  <cp:lastPrinted>2025-06-16T08:14:53Z</cp:lastPrinted>
  <dcterms:created xsi:type="dcterms:W3CDTF">2024-09-05T04:09:36Z</dcterms:created>
  <dcterms:modified xsi:type="dcterms:W3CDTF">2026-09-24T02:41:35Z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0x0101003C376F59C6A2294EACD46D0B48924651</vt:lpwstr>
  </property>
</Properties>
</file>