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embeddings/oleObject3.bin" ContentType="application/vnd.openxmlformats-officedocument.oleObject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showInkAnnotation="0"/>
  <xr:revisionPtr revIDLastSave="0" documentId="13_ncr:1_{23A5982A-DE76-4B85-B6EA-25C914817FF7}" xr6:coauthVersionLast="47" xr6:coauthVersionMax="47" xr10:uidLastSave="{00000000-0000-0000-0000-000000000000}"/>
  <bookViews>
    <workbookView xWindow="-110" yWindow="-110" windowWidth="19420" windowHeight="10300" tabRatio="762" activeTab="2" xr2:uid="{00000000-000D-0000-FFFF-FFFF00000000}"/>
  </bookViews>
  <sheets>
    <sheet name="MB05A_DGCL_ĐKT" sheetId="1" r:id="rId1"/>
    <sheet name="MB05B_DGCL_ĐKT" sheetId="4" r:id="rId2"/>
    <sheet name="MB05C_DGCL_ĐKT" sheetId="5" r:id="rId3"/>
    <sheet name="Hướng dẫn" sheetId="2" r:id="rId4"/>
    <sheet name="Bảng điểm" sheetId="3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5" l="1"/>
  <c r="H26" i="5" s="1"/>
  <c r="G25" i="5"/>
  <c r="G26" i="5" s="1"/>
  <c r="H25" i="4"/>
  <c r="H26" i="4" s="1"/>
  <c r="G25" i="4"/>
  <c r="G26" i="4" s="1"/>
  <c r="G25" i="1"/>
  <c r="G26" i="1" s="1"/>
  <c r="H25" i="1"/>
  <c r="H26" i="1" s="1"/>
  <c r="F25" i="1"/>
  <c r="F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Dòng Auto</t>
        </r>
      </text>
    </comment>
    <comment ref="H2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Dòng Auto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Dòng Auto</t>
        </r>
      </text>
    </comment>
    <comment ref="H2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Dòng Auto</t>
        </r>
      </text>
    </comment>
  </commentList>
</comments>
</file>

<file path=xl/sharedStrings.xml><?xml version="1.0" encoding="utf-8"?>
<sst xmlns="http://schemas.openxmlformats.org/spreadsheetml/2006/main" count="195" uniqueCount="100">
  <si>
    <t>Kiểm toán Nội bộ</t>
  </si>
  <si>
    <t>BẢN ĐÁNH GIÁ CHẤT LƯỢNG THÀNH VIÊN ĐOÀN KIỂM TOÁN</t>
  </si>
  <si>
    <t>1. Thông tin chung</t>
  </si>
  <si>
    <t>Đoàn kiểm toán</t>
  </si>
  <si>
    <t>Đơn vị được kiểm toán</t>
  </si>
  <si>
    <t>Thời hiệu kiểm toán</t>
  </si>
  <si>
    <t>Thời gian kiểm toán</t>
  </si>
  <si>
    <t>Người tự đánh giá</t>
  </si>
  <si>
    <t>Căn cứ thực hiện</t>
  </si>
  <si>
    <t>- Kiểm toán nghiệp vụ Tín dụng, Phi tín dụng và Công tác quản lý các Phòng giao dịch bưu điện (PGDBĐ) tại LPBank - Chi nhánh (CN) ….
- Kiểm toán hoạt động cung cấp dịch vụ Ngân hàng tại các PGDBĐ và Bộ phận GDBĐ trên địa bàn Tỉnh … do CN … quản lý.</t>
  </si>
  <si>
    <t>- Chi nhánh … 
- PGDBĐ … 
- Bộ phận GDBĐ …</t>
  </si>
  <si>
    <t>- Quy trình Kiểm toán Nội bộ số 40/2025/QT-BKS ngày 16/05/2025.
- Giấy tờ làm việc của KTV.</t>
  </si>
  <si>
    <t>Hà Nội, ngày  ...  tháng ...  năm 20…</t>
  </si>
  <si>
    <t>2. Đánh giá chất lượng</t>
  </si>
  <si>
    <t>STT</t>
  </si>
  <si>
    <t>Tiêu chí</t>
  </si>
  <si>
    <t>Điểm đánh giá</t>
  </si>
  <si>
    <t>KTV</t>
  </si>
  <si>
    <t>Trưởng Đoàn</t>
  </si>
  <si>
    <t>Trưởng phòng</t>
  </si>
  <si>
    <t>Tính hoàn chỉnh và hợp lý của hồ sơ kiểm toán</t>
  </si>
  <si>
    <t>Việc thực hiện kế hoạch kiểm toán đúng tiến độ</t>
  </si>
  <si>
    <t>Thực hiện đầy đủ thủ tục kiểm toán đã phê duyệt</t>
  </si>
  <si>
    <t>Phân công công việc rõ ràng, đúng năng lực</t>
  </si>
  <si>
    <t>Lưu trữ hồ sơ đúng quy định</t>
  </si>
  <si>
    <t>Đạt được mục tiêu kiểm toán đã đề ra</t>
  </si>
  <si>
    <t>Tính nhất quán giữa kết luận và kết quả kiểm toán</t>
  </si>
  <si>
    <t>Tổng điểm đánh giá</t>
  </si>
  <si>
    <t>Xếp hạng chất lượng chung</t>
  </si>
  <si>
    <t>HƯỚNG DẪN ĐÁNH GIÁ CHẤT LƯỢNG ĐOÀN KIỂM TOÁN</t>
  </si>
  <si>
    <t>1. Nguyên tắc đánh giá</t>
  </si>
  <si>
    <t>2. Thang điểm đánh giá</t>
  </si>
  <si>
    <t>3. Hướng dẫn cho điểm theo từng tiêu chí</t>
  </si>
  <si>
    <t>Tiêu chí đánh giá</t>
  </si>
  <si>
    <t>Hướng dẫn đánh giá</t>
  </si>
  <si>
    <t>Đánh giá sự đầy đủ các giấy tờ, biên bản, bằng chứng kiểm toán. Sắp xếp logic, có ký tên, ngày tháng.</t>
  </si>
  <si>
    <t>So sánh với lịch trình đã phê duyệt.</t>
  </si>
  <si>
    <t>Đối chiếu chương trình kiểm toán và thực tế.</t>
  </si>
  <si>
    <t>Căn cứ bảng phân công, kiểm tra sự phù hợp.</t>
  </si>
  <si>
    <t>Đảm bảo đúng mẫu, mã hóa, thư mục.</t>
  </si>
  <si>
    <t>So sánh kết quả đạt được với kế hoạch mục tiêu.</t>
  </si>
  <si>
    <t>Kiểm tra tính logic giữa phát hiện và kết luận.</t>
  </si>
  <si>
    <t>4. Kết luận chung</t>
  </si>
  <si>
    <t xml:space="preserve">- Các thành viên trong đoàn thực hiện tự đánh giá  </t>
  </si>
  <si>
    <t>- Trưởng đoàn đánh giá cho từng thành viên trong đoàn, Trưởng phòng/Người được phân công phụ trách soát xét phê duyệt. Kết quả đánh giá của từng thành viên theo kết quả đánh giá và phê duyệt của Trưởng phòng/Người được phân công phụ trách.</t>
  </si>
  <si>
    <t>- Kết quả đánh giá chất lượng của đoàn kiểm toán bằng điểm phê duyệt đánh giá của Trưởng phòng/Người được phân công phụ trách.</t>
  </si>
  <si>
    <t>3. Nhận xét tổng hợp</t>
  </si>
  <si>
    <r>
      <t>3.1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Trưởng đoàn nhận xét</t>
    </r>
  </si>
  <si>
    <t>3.2 Trưởng phòng đánh giá và phê duyệt</t>
  </si>
  <si>
    <t>- …(Ghi rõ điểm mạnh, điểm yếu, các đề xuất cải thiện nội bộ đối với KTV)</t>
  </si>
  <si>
    <t>- …(Đánh giá độc lập, tổng hợp, và kết luận cuối cùng về chất lượng KTV)</t>
  </si>
  <si>
    <t>Kiểm toán viên</t>
  </si>
  <si>
    <t>Trưởng đoàn</t>
  </si>
  <si>
    <t>Nguyễn Minh A</t>
  </si>
  <si>
    <t>Điểm</t>
  </si>
  <si>
    <t>Kết luận</t>
  </si>
  <si>
    <t>Tốt, đáp ứng yêu cầu</t>
  </si>
  <si>
    <t>Đạt yêu cầu, cần cải thiện thêm</t>
  </si>
  <si>
    <t>Chưa đạt yêu cầu</t>
  </si>
  <si>
    <t>Xem xét lại năng lực đoàn và cán bộ liên quan</t>
  </si>
  <si>
    <t>- Đối với trưởng đoàn tự đánh giá, trưởng phòng phê duyệt</t>
  </si>
  <si>
    <t>Nguyễn Minh A – Chức vụ trong Đoàn</t>
  </si>
  <si>
    <t>Nguyễn Minh A – Trưởng Đoàn</t>
  </si>
  <si>
    <t>- Quy trình Kiểm toán Nội bộ số 40/2025/QT-BKS ngày 16/05/2025.
- Báo cáo kiểm toán số …/2025/BCKT-KTNB ngày …/…/20…</t>
  </si>
  <si>
    <t>Từ ngày .../.../20… đến ngày .../.../20…</t>
  </si>
  <si>
    <t>Thành viên</t>
  </si>
  <si>
    <t>1. Nguyễn Minh C – Trưởng Đoàn
2. Cao Thị M – Phụ trách nghiệp vụ ...
3. Nguyễn Văn A – Thành viên
4. …</t>
  </si>
  <si>
    <t>Thang điểm chi tiết</t>
  </si>
  <si>
    <t>Hiểu công việc rõ ràng, đúng năng lực</t>
  </si>
  <si>
    <t>Việc thực hiện kế hoạch kiểm toán theo tiến độ</t>
  </si>
  <si>
    <t>3: đầy đủ, logic
2: thiếu không đáng kể
1: thiếu đáng kể
0: không có</t>
  </si>
  <si>
    <t>3: đúng kế hoạch
2: chậm ≤ 2 ngày
1: chậm &gt; 2 ngày
0: không hoàn thành</t>
  </si>
  <si>
    <t>3: đầy đủ
2: thiếu 1–2 thủ tục
1: thiếu nhiều
0: không thực hiện</t>
  </si>
  <si>
    <t>3: hợp lý
2: có điều chỉnh không lớn 
1: chồng chéo
0: không rõ ràng</t>
  </si>
  <si>
    <t>3: đúng mẫu
2: thiếu danh mục
1: lộn xộn
0: không lưu</t>
  </si>
  <si>
    <t>3: nhất quán, chặt chẽ
2: thiếu sự nhất quán mội số nội dung
1: mâu thuẫn
0: không rõ</t>
  </si>
  <si>
    <t>- Từ 20-21 điểm: Tốt, đáp ứng yêu cầu</t>
  </si>
  <si>
    <t>- Từ 16-19 điểm: Đạt yêu cầu, cần cải thiện thêm</t>
  </si>
  <si>
    <t>- Từ 10-15 điểm: Chưa đạt yêu cầu</t>
  </si>
  <si>
    <t>- Từ 9 điểm: Xem xét lại năng lực đoàn và cán bộ liên quan</t>
  </si>
  <si>
    <r>
      <t xml:space="preserve">* Lưu ý:
- </t>
    </r>
    <r>
      <rPr>
        <sz val="12"/>
        <color theme="1"/>
        <rFont val="Times New Roman"/>
        <family val="1"/>
      </rPr>
      <t>Xếp hạng chất lượng chung của đoàn kiểm toán: Theo điểm đánh giá của Trưởng phòng/Người được phân công phụ trách.
- Đánh giá với điểm số là đánh giá định lượng có giá trị tương đương 60% kết quả.
- Phần nhận xét tổng hợp của Trưởng đoàn/Trưởng phòng là đánh giá định tính có giá trị tương đương 40% kết quả.</t>
    </r>
  </si>
  <si>
    <t>- 3 điểm – Tốt: Đáp ứng đầy đủ yêu cầu, thực hiện tốt, không có sai sót hoặc thiếu sót đáng kể.</t>
  </si>
  <si>
    <t>- 2 điểm – Đạt: Thực hiện cơ bản đạt yêu cầu nhưng có một vài điểm cần cải thiện.</t>
  </si>
  <si>
    <t>- 1 điểm – Chưa đạt: Có sai sót/thiếu sót đáng kể ảnh hưởng đến chất lượng kiểm toán.</t>
  </si>
  <si>
    <t>- 0 điểm – Không thực hiện: Bỏ qua, không có bằng chứng hoặc không thực hiện nội dung đánh giá.</t>
  </si>
  <si>
    <t>3: đạt toàn bộ
2: cơ bản đạt
1: không đạt mục tiêu chính
0: không đạt mục tiêu</t>
  </si>
  <si>
    <t>- …(Ghi rõ điểm mạnh, điểm yếu, các đề xuất cải thiện nội bộ đối với Trưởng đoàn)</t>
  </si>
  <si>
    <t>- …(Ghi rõ điểm mạnh, điểm yếu, các đề xuất cải thiện nội bộ đối với Đoàn)</t>
  </si>
  <si>
    <t>- …(Đánh giá độc lập, tổng hợp, và kết luận cuối cùng về chất lượng Đoàn)</t>
  </si>
  <si>
    <t>- …(Đánh giá độc lập, tổng hợp, và kết luận cuối cùng về chất lượng Trưởng đoàn)</t>
  </si>
  <si>
    <t>- Quy trình Kiểm toán Nội bộ số 40/2025/QT-BKS ngày 16/05/2025.
- Báo cáo kiểm toán số …/2025/BCKT-KTNB ngày …/…/20…
- Kết quả đánh giá của các KTV.</t>
  </si>
  <si>
    <t>Tổng điểm</t>
  </si>
  <si>
    <t>BẢN ĐÁNH GIÁ CHẤT LƯỢNG TRƯỞNG ĐOÀN KIỂM TOÁN</t>
  </si>
  <si>
    <t>BẢN ĐÁNH GIÁ CHẤT LƯỢNG ĐOÀN KIỂM TOÁN</t>
  </si>
  <si>
    <t>Phê duyệt của Giám đốc Khối KTNB</t>
  </si>
  <si>
    <t>- Kiểm toán nghiệp vụ Tín dụng, Phi tín dụng và Công tác quản lý các Phòng giao dịch bưu điện (PGDBĐ) tại LPBank - Chi nhánh (CN) …..
- Kiểm toán hoạt động cung cấp dịch vụ Ngân hàng tại các PGDBĐ và Bộ phận GDBĐ trên địa bàn Tỉnh … do CN … quản lý.</t>
  </si>
  <si>
    <t>….............................</t>
  </si>
  <si>
    <t>MB05A_DGCL_ĐKT_KTNB</t>
  </si>
  <si>
    <t>MB05B_DGCL_ĐKT_KTNB</t>
  </si>
  <si>
    <t>MB05C_DGCL_ĐKT_KTNB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</si>
</sst>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justify" vertical="center" wrapText="1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 applyProtection="1">
      <alignment horizontal="center" vertical="center" wrapText="1"/>
      <protection hidden="1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5" fillId="0" borderId="1" xfId="0" applyFont="1" applyBorder="1" applyAlignment="1" applyProtection="1">
      <alignment horizontal="center" vertical="center" wrapText="1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0" xfId="0" quotePrefix="1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5" fillId="4" borderId="0" xfId="0" applyFont="1" applyFill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0" borderId="0" xfId="0" applyFont="1" applyAlignment="1">
      <alignment horizontal="justify" vertical="center" wrapText="1"/>
    </xf>
    <xf numFmtId="0" fontId="5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31750</xdr:colOff>
          <xdr:row>0</xdr:row>
          <xdr:rowOff>25400</xdr:rowOff>
        </xdr:from>
        <xdr:to>
          <xdr:col>2</xdr:col>
          <xdr:colOff>266700</xdr:colOff>
          <xdr:row>1</xdr:row>
          <xdr:rowOff>184150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31750</xdr:colOff>
          <xdr:row>0</xdr:row>
          <xdr:rowOff>25400</xdr:rowOff>
        </xdr:from>
        <xdr:to>
          <xdr:col>2</xdr:col>
          <xdr:colOff>266700</xdr:colOff>
          <xdr:row>1</xdr:row>
          <xdr:rowOff>184150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31750</xdr:colOff>
          <xdr:row>0</xdr:row>
          <xdr:rowOff>25400</xdr:rowOff>
        </xdr:from>
        <xdr:to>
          <xdr:col>2</xdr:col>
          <xdr:colOff>266700</xdr:colOff>
          <xdr:row>1</xdr:row>
          <xdr:rowOff>184150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2.xml"/><Relationship Id="rId5" Type="http://schemas.openxmlformats.org/officeDocument/2006/relationships/image" Target="../media/image1.png"/><Relationship Id="rId4" Type="http://schemas.openxmlformats.org/officeDocument/2006/relationships/oleObject" Target="../embeddings/oleObject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showGridLines="0" view="pageBreakPreview" topLeftCell="A20" zoomScaleNormal="100" zoomScaleSheetLayoutView="100" workbookViewId="0">
      <selection activeCell="A5" sqref="A5:H5"/>
    </sheetView>
  </sheetViews>
  <sheetFormatPr defaultRowHeight="15.5" x14ac:dyDescent="0.35"/>
  <cols>
    <col min="1" max="1" width="4.90625" style="1" customWidth="1"/>
    <col min="2" max="3" width="9.453125" style="1" customWidth="1"/>
    <col min="4" max="8" width="14.26953125" style="1" customWidth="1"/>
    <col min="9" max="16384" width="8.7265625" style="1"/>
  </cols>
  <sheetData>
    <row r="1" spans="1:8" x14ac:dyDescent="0.35">
      <c r="F1" s="26" t="s">
        <v>97</v>
      </c>
      <c r="G1" s="26"/>
      <c r="H1" s="26"/>
    </row>
    <row r="2" spans="1:8" x14ac:dyDescent="0.35">
      <c r="E2" s="27" t="s">
        <v>12</v>
      </c>
      <c r="F2" s="27"/>
      <c r="G2" s="27"/>
      <c r="H2" s="27"/>
    </row>
    <row r="3" spans="1:8" x14ac:dyDescent="0.35">
      <c r="A3" s="28" t="s">
        <v>0</v>
      </c>
      <c r="B3" s="28"/>
      <c r="C3" s="28"/>
    </row>
    <row r="5" spans="1:8" x14ac:dyDescent="0.35">
      <c r="A5" s="25" t="s">
        <v>1</v>
      </c>
      <c r="B5" s="25"/>
      <c r="C5" s="25"/>
      <c r="D5" s="25"/>
      <c r="E5" s="25"/>
      <c r="F5" s="25"/>
      <c r="G5" s="25"/>
      <c r="H5" s="25"/>
    </row>
    <row r="7" spans="1:8" s="2" customFormat="1" ht="15" x14ac:dyDescent="0.35">
      <c r="A7" s="2" t="s">
        <v>2</v>
      </c>
    </row>
    <row r="8" spans="1:8" ht="63.5" customHeight="1" x14ac:dyDescent="0.35">
      <c r="A8" s="29" t="s">
        <v>3</v>
      </c>
      <c r="B8" s="29"/>
      <c r="C8" s="29"/>
      <c r="D8" s="30" t="s">
        <v>9</v>
      </c>
      <c r="E8" s="31"/>
      <c r="F8" s="31"/>
      <c r="G8" s="31"/>
      <c r="H8" s="31"/>
    </row>
    <row r="9" spans="1:8" ht="51.5" customHeight="1" x14ac:dyDescent="0.35">
      <c r="A9" s="29" t="s">
        <v>4</v>
      </c>
      <c r="B9" s="29"/>
      <c r="C9" s="29"/>
      <c r="D9" s="30" t="s">
        <v>10</v>
      </c>
      <c r="E9" s="31"/>
      <c r="F9" s="31"/>
      <c r="G9" s="31"/>
      <c r="H9" s="31"/>
    </row>
    <row r="10" spans="1:8" x14ac:dyDescent="0.35">
      <c r="A10" s="29" t="s">
        <v>5</v>
      </c>
      <c r="B10" s="29"/>
      <c r="C10" s="29"/>
      <c r="D10" s="31" t="s">
        <v>64</v>
      </c>
      <c r="E10" s="31"/>
      <c r="F10" s="31"/>
      <c r="G10" s="31"/>
      <c r="H10" s="31"/>
    </row>
    <row r="11" spans="1:8" x14ac:dyDescent="0.35">
      <c r="A11" s="29" t="s">
        <v>6</v>
      </c>
      <c r="B11" s="29"/>
      <c r="C11" s="29"/>
      <c r="D11" s="31" t="s">
        <v>64</v>
      </c>
      <c r="E11" s="31"/>
      <c r="F11" s="31"/>
      <c r="G11" s="31"/>
      <c r="H11" s="31"/>
    </row>
    <row r="12" spans="1:8" ht="18" customHeight="1" x14ac:dyDescent="0.35">
      <c r="A12" s="29" t="s">
        <v>7</v>
      </c>
      <c r="B12" s="29"/>
      <c r="C12" s="29"/>
      <c r="D12" s="31" t="s">
        <v>61</v>
      </c>
      <c r="E12" s="31"/>
      <c r="F12" s="31"/>
      <c r="G12" s="31"/>
      <c r="H12" s="31"/>
    </row>
    <row r="13" spans="1:8" ht="31" customHeight="1" x14ac:dyDescent="0.35">
      <c r="A13" s="29" t="s">
        <v>8</v>
      </c>
      <c r="B13" s="29"/>
      <c r="C13" s="29"/>
      <c r="D13" s="30" t="s">
        <v>11</v>
      </c>
      <c r="E13" s="31"/>
      <c r="F13" s="31"/>
      <c r="G13" s="31"/>
      <c r="H13" s="31"/>
    </row>
    <row r="14" spans="1:8" ht="13" customHeight="1" x14ac:dyDescent="0.35">
      <c r="A14" s="14"/>
      <c r="B14" s="14"/>
      <c r="C14" s="14"/>
      <c r="D14" s="15"/>
      <c r="E14" s="8"/>
      <c r="F14" s="8"/>
      <c r="G14" s="8"/>
      <c r="H14" s="8"/>
    </row>
    <row r="15" spans="1:8" s="2" customFormat="1" ht="15" x14ac:dyDescent="0.35">
      <c r="A15" s="2" t="s">
        <v>13</v>
      </c>
    </row>
    <row r="16" spans="1:8" x14ac:dyDescent="0.35">
      <c r="A16" s="36" t="s">
        <v>14</v>
      </c>
      <c r="B16" s="36" t="s">
        <v>15</v>
      </c>
      <c r="C16" s="36"/>
      <c r="D16" s="36"/>
      <c r="E16" s="36"/>
      <c r="F16" s="36" t="s">
        <v>16</v>
      </c>
      <c r="G16" s="36"/>
      <c r="H16" s="36"/>
    </row>
    <row r="17" spans="1:8" x14ac:dyDescent="0.35">
      <c r="A17" s="36"/>
      <c r="B17" s="36"/>
      <c r="C17" s="36"/>
      <c r="D17" s="36"/>
      <c r="E17" s="36"/>
      <c r="F17" s="4" t="s">
        <v>17</v>
      </c>
      <c r="G17" s="4" t="s">
        <v>18</v>
      </c>
      <c r="H17" s="4" t="s">
        <v>19</v>
      </c>
    </row>
    <row r="18" spans="1:8" x14ac:dyDescent="0.35">
      <c r="A18" s="5">
        <v>1</v>
      </c>
      <c r="B18" s="44" t="s">
        <v>20</v>
      </c>
      <c r="C18" s="44"/>
      <c r="D18" s="44"/>
      <c r="E18" s="44"/>
      <c r="F18" s="5">
        <v>3</v>
      </c>
      <c r="G18" s="5">
        <v>3</v>
      </c>
      <c r="H18" s="5">
        <v>3</v>
      </c>
    </row>
    <row r="19" spans="1:8" x14ac:dyDescent="0.35">
      <c r="A19" s="5">
        <v>2</v>
      </c>
      <c r="B19" s="44" t="s">
        <v>69</v>
      </c>
      <c r="C19" s="44"/>
      <c r="D19" s="44"/>
      <c r="E19" s="44"/>
      <c r="F19" s="5">
        <v>3</v>
      </c>
      <c r="G19" s="5">
        <v>3</v>
      </c>
      <c r="H19" s="5">
        <v>3</v>
      </c>
    </row>
    <row r="20" spans="1:8" x14ac:dyDescent="0.35">
      <c r="A20" s="5">
        <v>3</v>
      </c>
      <c r="B20" s="44" t="s">
        <v>22</v>
      </c>
      <c r="C20" s="44"/>
      <c r="D20" s="44"/>
      <c r="E20" s="44"/>
      <c r="F20" s="5">
        <v>3</v>
      </c>
      <c r="G20" s="5">
        <v>3</v>
      </c>
      <c r="H20" s="5">
        <v>3</v>
      </c>
    </row>
    <row r="21" spans="1:8" x14ac:dyDescent="0.35">
      <c r="A21" s="5">
        <v>4</v>
      </c>
      <c r="B21" s="44" t="s">
        <v>68</v>
      </c>
      <c r="C21" s="44"/>
      <c r="D21" s="44"/>
      <c r="E21" s="44"/>
      <c r="F21" s="5">
        <v>3</v>
      </c>
      <c r="G21" s="5">
        <v>3</v>
      </c>
      <c r="H21" s="5">
        <v>3</v>
      </c>
    </row>
    <row r="22" spans="1:8" x14ac:dyDescent="0.35">
      <c r="A22" s="5">
        <v>5</v>
      </c>
      <c r="B22" s="44" t="s">
        <v>24</v>
      </c>
      <c r="C22" s="44"/>
      <c r="D22" s="44"/>
      <c r="E22" s="44"/>
      <c r="F22" s="5">
        <v>3</v>
      </c>
      <c r="G22" s="5">
        <v>3</v>
      </c>
      <c r="H22" s="5">
        <v>3</v>
      </c>
    </row>
    <row r="23" spans="1:8" x14ac:dyDescent="0.35">
      <c r="A23" s="5">
        <v>6</v>
      </c>
      <c r="B23" s="44" t="s">
        <v>25</v>
      </c>
      <c r="C23" s="44"/>
      <c r="D23" s="44"/>
      <c r="E23" s="44"/>
      <c r="F23" s="5">
        <v>3</v>
      </c>
      <c r="G23" s="5">
        <v>3</v>
      </c>
      <c r="H23" s="5">
        <v>3</v>
      </c>
    </row>
    <row r="24" spans="1:8" x14ac:dyDescent="0.35">
      <c r="A24" s="5">
        <v>7</v>
      </c>
      <c r="B24" s="44" t="s">
        <v>26</v>
      </c>
      <c r="C24" s="44"/>
      <c r="D24" s="44"/>
      <c r="E24" s="44"/>
      <c r="F24" s="5">
        <v>3</v>
      </c>
      <c r="G24" s="5">
        <v>3</v>
      </c>
      <c r="H24" s="5">
        <v>3</v>
      </c>
    </row>
    <row r="25" spans="1:8" x14ac:dyDescent="0.35">
      <c r="A25" s="5"/>
      <c r="B25" s="45" t="s">
        <v>27</v>
      </c>
      <c r="C25" s="45"/>
      <c r="D25" s="45"/>
      <c r="E25" s="45"/>
      <c r="F25" s="24">
        <f>SUM(F18:F24)</f>
        <v>21</v>
      </c>
      <c r="G25" s="24">
        <f t="shared" ref="G25:H25" si="0">SUM(G18:G24)</f>
        <v>21</v>
      </c>
      <c r="H25" s="24">
        <f t="shared" si="0"/>
        <v>21</v>
      </c>
    </row>
    <row r="26" spans="1:8" ht="46" customHeight="1" x14ac:dyDescent="0.35">
      <c r="A26" s="5"/>
      <c r="B26" s="45" t="s">
        <v>28</v>
      </c>
      <c r="C26" s="45"/>
      <c r="D26" s="45"/>
      <c r="E26" s="45"/>
      <c r="F26" s="24" t="str">
        <f>VLOOKUP(F25,'Bảng điểm'!$B$2:$C$23,2,0)</f>
        <v>Tốt, đáp ứng yêu cầu</v>
      </c>
      <c r="G26" s="24" t="str">
        <f>VLOOKUP(G25,'Bảng điểm'!$B$2:$C$23,2,0)</f>
        <v>Tốt, đáp ứng yêu cầu</v>
      </c>
      <c r="H26" s="24" t="str">
        <f>VLOOKUP(H25,'Bảng điểm'!$B$2:$C$23,2,0)</f>
        <v>Tốt, đáp ứng yêu cầu</v>
      </c>
    </row>
    <row r="27" spans="1:8" ht="12.5" customHeight="1" x14ac:dyDescent="0.35">
      <c r="A27" s="16"/>
      <c r="B27" s="17"/>
      <c r="C27" s="17"/>
      <c r="D27" s="17"/>
      <c r="E27" s="17"/>
      <c r="F27" s="18"/>
      <c r="G27" s="18"/>
      <c r="H27" s="18"/>
    </row>
    <row r="28" spans="1:8" s="2" customFormat="1" ht="15" x14ac:dyDescent="0.35">
      <c r="A28" s="2" t="s">
        <v>46</v>
      </c>
    </row>
    <row r="29" spans="1:8" x14ac:dyDescent="0.35">
      <c r="A29" s="10" t="s">
        <v>47</v>
      </c>
    </row>
    <row r="30" spans="1:8" x14ac:dyDescent="0.35">
      <c r="A30" s="42" t="s">
        <v>49</v>
      </c>
      <c r="B30" s="43"/>
      <c r="C30" s="43"/>
      <c r="D30" s="43"/>
      <c r="E30" s="43"/>
      <c r="F30" s="43"/>
      <c r="G30" s="43"/>
      <c r="H30" s="43"/>
    </row>
    <row r="31" spans="1:8" s="2" customFormat="1" ht="15" x14ac:dyDescent="0.35">
      <c r="A31" s="10" t="s">
        <v>48</v>
      </c>
    </row>
    <row r="32" spans="1:8" x14ac:dyDescent="0.35">
      <c r="A32" s="42" t="s">
        <v>50</v>
      </c>
      <c r="B32" s="43"/>
      <c r="C32" s="43"/>
      <c r="D32" s="43"/>
      <c r="E32" s="43"/>
      <c r="F32" s="43"/>
      <c r="G32" s="43"/>
      <c r="H32" s="43"/>
    </row>
    <row r="34" spans="3:7" s="2" customFormat="1" ht="15" x14ac:dyDescent="0.35">
      <c r="C34" s="3" t="s">
        <v>51</v>
      </c>
      <c r="E34" s="3" t="s">
        <v>52</v>
      </c>
      <c r="G34" s="3" t="s">
        <v>19</v>
      </c>
    </row>
    <row r="37" spans="3:7" s="2" customFormat="1" ht="15" x14ac:dyDescent="0.35">
      <c r="C37" s="3" t="s">
        <v>53</v>
      </c>
      <c r="E37" s="2" t="s">
        <v>53</v>
      </c>
      <c r="G37" s="2" t="s">
        <v>53</v>
      </c>
    </row>
    <row r="38" spans="3:7" s="2" customFormat="1" ht="15" x14ac:dyDescent="0.35"/>
  </sheetData>
  <sheetProtection selectLockedCells="1" selectUnlockedCells="1"/>
  <mergeCells count="30">
    <mergeCell ref="B26:E26"/>
    <mergeCell ref="A30:H30"/>
    <mergeCell ref="A32:H32"/>
    <mergeCell ref="B20:E20"/>
    <mergeCell ref="B21:E21"/>
    <mergeCell ref="B22:E22"/>
    <mergeCell ref="B23:E23"/>
    <mergeCell ref="B24:E24"/>
    <mergeCell ref="B25:E25"/>
    <mergeCell ref="A16:A17"/>
    <mergeCell ref="F16:H16"/>
    <mergeCell ref="B16:E17"/>
    <mergeCell ref="B18:E18"/>
    <mergeCell ref="B19:E19"/>
    <mergeCell ref="A5:H5"/>
    <mergeCell ref="F1:H1"/>
    <mergeCell ref="E2:H2"/>
    <mergeCell ref="A3:C3"/>
    <mergeCell ref="D13:H13"/>
    <mergeCell ref="A8:C8"/>
    <mergeCell ref="A9:C9"/>
    <mergeCell ref="A10:C10"/>
    <mergeCell ref="A11:C11"/>
    <mergeCell ref="A12:C12"/>
    <mergeCell ref="A13:C13"/>
    <mergeCell ref="D8:H8"/>
    <mergeCell ref="D9:H9"/>
    <mergeCell ref="D10:H10"/>
    <mergeCell ref="D11:H11"/>
    <mergeCell ref="D12:H12"/>
  </mergeCells>
  <pageMargins left="0.7" right="0.2" top="0.75" bottom="0.75" header="0.3" footer="0.3"/>
  <pageSetup scale="95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31750</xdr:colOff>
                <xdr:row>0</xdr:row>
                <xdr:rowOff>25400</xdr:rowOff>
              </from>
              <to>
                <xdr:col>2</xdr:col>
                <xdr:colOff>266700</xdr:colOff>
                <xdr:row>1</xdr:row>
                <xdr:rowOff>184150</xdr:rowOff>
              </to>
            </anchor>
          </objectPr>
        </oleObject>
      </mc:Choice>
      <mc:Fallback>
        <oleObject progId="PBrush" shapeId="1025" r:id="rId4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'Bảng điểm'!$A$2:$A$5</xm:f>
          </x14:formula1>
          <xm:sqref>F18:H24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showGridLines="0" view="pageBreakPreview" zoomScaleNormal="100" zoomScaleSheetLayoutView="100" workbookViewId="0">
      <selection activeCell="F1" sqref="F1:H1"/>
    </sheetView>
  </sheetViews>
  <sheetFormatPr defaultRowHeight="15.5" x14ac:dyDescent="0.35"/>
  <cols>
    <col min="1" max="1" width="4.90625" style="1" customWidth="1"/>
    <col min="2" max="3" width="9.453125" style="1" customWidth="1"/>
    <col min="4" max="8" width="14.26953125" style="1" customWidth="1"/>
    <col min="9" max="16384" width="8.7265625" style="1"/>
  </cols>
  <sheetData>
    <row r="1" spans="1:8" x14ac:dyDescent="0.35">
      <c r="F1" s="26" t="s">
        <v>98</v>
      </c>
      <c r="G1" s="26"/>
      <c r="H1" s="26"/>
    </row>
    <row r="2" spans="1:8" x14ac:dyDescent="0.35">
      <c r="E2" s="27" t="s">
        <v>12</v>
      </c>
      <c r="F2" s="27"/>
      <c r="G2" s="27"/>
      <c r="H2" s="27"/>
    </row>
    <row r="3" spans="1:8" x14ac:dyDescent="0.35">
      <c r="A3" s="28" t="s">
        <v>0</v>
      </c>
      <c r="B3" s="28"/>
      <c r="C3" s="28"/>
    </row>
    <row r="5" spans="1:8" x14ac:dyDescent="0.35">
      <c r="A5" s="25" t="s">
        <v>92</v>
      </c>
      <c r="B5" s="25"/>
      <c r="C5" s="25"/>
      <c r="D5" s="25"/>
      <c r="E5" s="25"/>
      <c r="F5" s="25"/>
      <c r="G5" s="25"/>
      <c r="H5" s="25"/>
    </row>
    <row r="7" spans="1:8" s="2" customFormat="1" ht="15" x14ac:dyDescent="0.35">
      <c r="A7" s="2" t="s">
        <v>2</v>
      </c>
    </row>
    <row r="8" spans="1:8" ht="63.5" customHeight="1" x14ac:dyDescent="0.35">
      <c r="A8" s="29" t="s">
        <v>3</v>
      </c>
      <c r="B8" s="29"/>
      <c r="C8" s="29"/>
      <c r="D8" s="30" t="s">
        <v>9</v>
      </c>
      <c r="E8" s="31"/>
      <c r="F8" s="31"/>
      <c r="G8" s="31"/>
      <c r="H8" s="31"/>
    </row>
    <row r="9" spans="1:8" ht="51.5" customHeight="1" x14ac:dyDescent="0.35">
      <c r="A9" s="29" t="s">
        <v>4</v>
      </c>
      <c r="B9" s="29"/>
      <c r="C9" s="29"/>
      <c r="D9" s="30" t="s">
        <v>10</v>
      </c>
      <c r="E9" s="31"/>
      <c r="F9" s="31"/>
      <c r="G9" s="31"/>
      <c r="H9" s="31"/>
    </row>
    <row r="10" spans="1:8" x14ac:dyDescent="0.35">
      <c r="A10" s="29" t="s">
        <v>5</v>
      </c>
      <c r="B10" s="29"/>
      <c r="C10" s="29"/>
      <c r="D10" s="31" t="s">
        <v>64</v>
      </c>
      <c r="E10" s="31"/>
      <c r="F10" s="31"/>
      <c r="G10" s="31"/>
      <c r="H10" s="31"/>
    </row>
    <row r="11" spans="1:8" x14ac:dyDescent="0.35">
      <c r="A11" s="29" t="s">
        <v>6</v>
      </c>
      <c r="B11" s="29"/>
      <c r="C11" s="29"/>
      <c r="D11" s="31" t="s">
        <v>64</v>
      </c>
      <c r="E11" s="31"/>
      <c r="F11" s="31"/>
      <c r="G11" s="31"/>
      <c r="H11" s="31"/>
    </row>
    <row r="12" spans="1:8" ht="18" customHeight="1" x14ac:dyDescent="0.35">
      <c r="A12" s="29" t="s">
        <v>7</v>
      </c>
      <c r="B12" s="29"/>
      <c r="C12" s="29"/>
      <c r="D12" s="31" t="s">
        <v>62</v>
      </c>
      <c r="E12" s="31"/>
      <c r="F12" s="31"/>
      <c r="G12" s="31"/>
      <c r="H12" s="31"/>
    </row>
    <row r="13" spans="1:8" ht="31" customHeight="1" x14ac:dyDescent="0.35">
      <c r="A13" s="29" t="s">
        <v>8</v>
      </c>
      <c r="B13" s="29"/>
      <c r="C13" s="29"/>
      <c r="D13" s="30" t="s">
        <v>63</v>
      </c>
      <c r="E13" s="31"/>
      <c r="F13" s="31"/>
      <c r="G13" s="31"/>
      <c r="H13" s="31"/>
    </row>
    <row r="14" spans="1:8" ht="13" customHeight="1" x14ac:dyDescent="0.35">
      <c r="A14" s="14"/>
      <c r="B14" s="14"/>
      <c r="C14" s="14"/>
      <c r="D14" s="15"/>
      <c r="E14" s="8"/>
      <c r="F14" s="8"/>
      <c r="G14" s="8"/>
      <c r="H14" s="8"/>
    </row>
    <row r="15" spans="1:8" s="2" customFormat="1" ht="15" x14ac:dyDescent="0.35">
      <c r="A15" s="2" t="s">
        <v>13</v>
      </c>
    </row>
    <row r="16" spans="1:8" ht="15.5" customHeight="1" x14ac:dyDescent="0.35">
      <c r="A16" s="36" t="s">
        <v>14</v>
      </c>
      <c r="B16" s="36" t="s">
        <v>15</v>
      </c>
      <c r="C16" s="36"/>
      <c r="D16" s="36"/>
      <c r="E16" s="36"/>
      <c r="F16" s="36"/>
      <c r="G16" s="37" t="s">
        <v>16</v>
      </c>
      <c r="H16" s="38"/>
    </row>
    <row r="17" spans="1:8" x14ac:dyDescent="0.35">
      <c r="A17" s="36"/>
      <c r="B17" s="36"/>
      <c r="C17" s="36"/>
      <c r="D17" s="36"/>
      <c r="E17" s="36"/>
      <c r="F17" s="36"/>
      <c r="G17" s="4" t="s">
        <v>18</v>
      </c>
      <c r="H17" s="4" t="s">
        <v>19</v>
      </c>
    </row>
    <row r="18" spans="1:8" ht="15.5" customHeight="1" x14ac:dyDescent="0.35">
      <c r="A18" s="5">
        <v>1</v>
      </c>
      <c r="B18" s="32" t="s">
        <v>20</v>
      </c>
      <c r="C18" s="33"/>
      <c r="D18" s="33"/>
      <c r="E18" s="33"/>
      <c r="F18" s="34"/>
      <c r="G18" s="5">
        <v>3</v>
      </c>
      <c r="H18" s="5">
        <v>3</v>
      </c>
    </row>
    <row r="19" spans="1:8" ht="15.5" customHeight="1" x14ac:dyDescent="0.35">
      <c r="A19" s="5">
        <v>2</v>
      </c>
      <c r="B19" s="32" t="s">
        <v>69</v>
      </c>
      <c r="C19" s="33"/>
      <c r="D19" s="33"/>
      <c r="E19" s="33"/>
      <c r="F19" s="34"/>
      <c r="G19" s="5">
        <v>3</v>
      </c>
      <c r="H19" s="5">
        <v>3</v>
      </c>
    </row>
    <row r="20" spans="1:8" ht="15.5" customHeight="1" x14ac:dyDescent="0.35">
      <c r="A20" s="5">
        <v>3</v>
      </c>
      <c r="B20" s="32" t="s">
        <v>22</v>
      </c>
      <c r="C20" s="33"/>
      <c r="D20" s="33"/>
      <c r="E20" s="33"/>
      <c r="F20" s="34"/>
      <c r="G20" s="5">
        <v>3</v>
      </c>
      <c r="H20" s="5">
        <v>3</v>
      </c>
    </row>
    <row r="21" spans="1:8" ht="15.5" customHeight="1" x14ac:dyDescent="0.35">
      <c r="A21" s="5">
        <v>4</v>
      </c>
      <c r="B21" s="32" t="s">
        <v>23</v>
      </c>
      <c r="C21" s="33"/>
      <c r="D21" s="33"/>
      <c r="E21" s="33"/>
      <c r="F21" s="34"/>
      <c r="G21" s="5">
        <v>3</v>
      </c>
      <c r="H21" s="5">
        <v>3</v>
      </c>
    </row>
    <row r="22" spans="1:8" ht="15.5" customHeight="1" x14ac:dyDescent="0.35">
      <c r="A22" s="5">
        <v>5</v>
      </c>
      <c r="B22" s="32" t="s">
        <v>24</v>
      </c>
      <c r="C22" s="33"/>
      <c r="D22" s="33"/>
      <c r="E22" s="33"/>
      <c r="F22" s="34"/>
      <c r="G22" s="5">
        <v>3</v>
      </c>
      <c r="H22" s="5">
        <v>3</v>
      </c>
    </row>
    <row r="23" spans="1:8" ht="15.5" customHeight="1" x14ac:dyDescent="0.35">
      <c r="A23" s="5">
        <v>6</v>
      </c>
      <c r="B23" s="32" t="s">
        <v>25</v>
      </c>
      <c r="C23" s="33"/>
      <c r="D23" s="33"/>
      <c r="E23" s="33"/>
      <c r="F23" s="34"/>
      <c r="G23" s="5">
        <v>3</v>
      </c>
      <c r="H23" s="5">
        <v>3</v>
      </c>
    </row>
    <row r="24" spans="1:8" ht="15.5" customHeight="1" x14ac:dyDescent="0.35">
      <c r="A24" s="5">
        <v>7</v>
      </c>
      <c r="B24" s="32" t="s">
        <v>26</v>
      </c>
      <c r="C24" s="33"/>
      <c r="D24" s="33"/>
      <c r="E24" s="33"/>
      <c r="F24" s="34"/>
      <c r="G24" s="5">
        <v>3</v>
      </c>
      <c r="H24" s="5">
        <v>3</v>
      </c>
    </row>
    <row r="25" spans="1:8" ht="15.5" customHeight="1" x14ac:dyDescent="0.35">
      <c r="A25" s="5"/>
      <c r="B25" s="39" t="s">
        <v>27</v>
      </c>
      <c r="C25" s="40"/>
      <c r="D25" s="40"/>
      <c r="E25" s="40"/>
      <c r="F25" s="41"/>
      <c r="G25" s="21">
        <f t="shared" ref="G25:H25" si="0">SUM(G18:G24)</f>
        <v>21</v>
      </c>
      <c r="H25" s="21">
        <f t="shared" si="0"/>
        <v>21</v>
      </c>
    </row>
    <row r="26" spans="1:8" ht="36" customHeight="1" x14ac:dyDescent="0.35">
      <c r="A26" s="5"/>
      <c r="B26" s="39" t="s">
        <v>28</v>
      </c>
      <c r="C26" s="40"/>
      <c r="D26" s="40"/>
      <c r="E26" s="40"/>
      <c r="F26" s="41"/>
      <c r="G26" s="21" t="str">
        <f>VLOOKUP(G25,'Bảng điểm'!$B$2:$C$23,2,0)</f>
        <v>Tốt, đáp ứng yêu cầu</v>
      </c>
      <c r="H26" s="21" t="str">
        <f>VLOOKUP(H25,'Bảng điểm'!$B$2:$C$23,2,0)</f>
        <v>Tốt, đáp ứng yêu cầu</v>
      </c>
    </row>
    <row r="27" spans="1:8" ht="12.5" customHeight="1" x14ac:dyDescent="0.35">
      <c r="A27" s="16"/>
      <c r="B27" s="17"/>
      <c r="C27" s="17"/>
      <c r="D27" s="17"/>
      <c r="E27" s="17"/>
      <c r="F27" s="18"/>
      <c r="G27" s="18"/>
      <c r="H27" s="18"/>
    </row>
    <row r="28" spans="1:8" s="2" customFormat="1" ht="15" x14ac:dyDescent="0.35">
      <c r="A28" s="2" t="s">
        <v>46</v>
      </c>
    </row>
    <row r="29" spans="1:8" x14ac:dyDescent="0.35">
      <c r="A29" s="10" t="s">
        <v>47</v>
      </c>
    </row>
    <row r="30" spans="1:8" x14ac:dyDescent="0.35">
      <c r="A30" s="42" t="s">
        <v>86</v>
      </c>
      <c r="B30" s="43"/>
      <c r="C30" s="43"/>
      <c r="D30" s="43"/>
      <c r="E30" s="43"/>
      <c r="F30" s="43"/>
      <c r="G30" s="43"/>
      <c r="H30" s="43"/>
    </row>
    <row r="31" spans="1:8" s="2" customFormat="1" ht="15" x14ac:dyDescent="0.35">
      <c r="A31" s="10" t="s">
        <v>48</v>
      </c>
    </row>
    <row r="32" spans="1:8" x14ac:dyDescent="0.35">
      <c r="A32" s="42" t="s">
        <v>89</v>
      </c>
      <c r="B32" s="43"/>
      <c r="C32" s="43"/>
      <c r="D32" s="43"/>
      <c r="E32" s="43"/>
      <c r="F32" s="43"/>
      <c r="G32" s="43"/>
      <c r="H32" s="43"/>
    </row>
    <row r="34" spans="3:7" s="2" customFormat="1" ht="15" x14ac:dyDescent="0.35">
      <c r="C34" s="3"/>
      <c r="D34" s="3" t="s">
        <v>52</v>
      </c>
      <c r="G34" s="3" t="s">
        <v>19</v>
      </c>
    </row>
    <row r="38" spans="3:7" s="2" customFormat="1" ht="15" x14ac:dyDescent="0.35">
      <c r="C38" s="3"/>
      <c r="D38" s="2" t="s">
        <v>53</v>
      </c>
      <c r="G38" s="2" t="s">
        <v>53</v>
      </c>
    </row>
    <row r="39" spans="3:7" s="2" customFormat="1" ht="15" x14ac:dyDescent="0.35"/>
  </sheetData>
  <mergeCells count="30">
    <mergeCell ref="B24:F24"/>
    <mergeCell ref="B25:F25"/>
    <mergeCell ref="B26:F26"/>
    <mergeCell ref="A30:H30"/>
    <mergeCell ref="A32:H32"/>
    <mergeCell ref="B21:F21"/>
    <mergeCell ref="B22:F22"/>
    <mergeCell ref="B23:F23"/>
    <mergeCell ref="A12:C12"/>
    <mergeCell ref="D12:H12"/>
    <mergeCell ref="A13:C13"/>
    <mergeCell ref="D13:H13"/>
    <mergeCell ref="A16:A17"/>
    <mergeCell ref="G16:H16"/>
    <mergeCell ref="B16:F17"/>
    <mergeCell ref="B18:F18"/>
    <mergeCell ref="B19:F19"/>
    <mergeCell ref="B20:F20"/>
    <mergeCell ref="A9:C9"/>
    <mergeCell ref="D9:H9"/>
    <mergeCell ref="A10:C10"/>
    <mergeCell ref="D10:H10"/>
    <mergeCell ref="A11:C11"/>
    <mergeCell ref="D11:H11"/>
    <mergeCell ref="F1:H1"/>
    <mergeCell ref="E2:H2"/>
    <mergeCell ref="A3:C3"/>
    <mergeCell ref="A5:H5"/>
    <mergeCell ref="A8:C8"/>
    <mergeCell ref="D8:H8"/>
  </mergeCells>
  <pageMargins left="0.7" right="0.2" top="0.75" bottom="0.75" header="0.3" footer="0.3"/>
  <pageSetup scale="95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0</xdr:col>
                <xdr:colOff>31750</xdr:colOff>
                <xdr:row>0</xdr:row>
                <xdr:rowOff>25400</xdr:rowOff>
              </from>
              <to>
                <xdr:col>2</xdr:col>
                <xdr:colOff>266700</xdr:colOff>
                <xdr:row>1</xdr:row>
                <xdr:rowOff>184150</xdr:rowOff>
              </to>
            </anchor>
          </objectPr>
        </oleObject>
      </mc:Choice>
      <mc:Fallback>
        <oleObject progId="PBrush" shapeId="4097" r:id="rId4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'Bảng điểm'!$A$2:$A$6</xm:f>
          </x14:formula1>
          <xm:sqref>G18:H24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showGridLines="0" tabSelected="1" view="pageBreakPreview" topLeftCell="A16" zoomScaleNormal="100" zoomScaleSheetLayoutView="100" workbookViewId="0">
      <selection activeCell="D8" sqref="D8:H8"/>
    </sheetView>
  </sheetViews>
  <sheetFormatPr defaultRowHeight="15.5" x14ac:dyDescent="0.35"/>
  <cols>
    <col min="1" max="1" width="4.90625" style="1" customWidth="1"/>
    <col min="2" max="3" width="9.453125" style="1" customWidth="1"/>
    <col min="4" max="8" width="14.26953125" style="1" customWidth="1"/>
    <col min="9" max="16384" width="8.7265625" style="1"/>
  </cols>
  <sheetData>
    <row r="1" spans="1:8" x14ac:dyDescent="0.35">
      <c r="F1" s="26" t="s">
        <v>99</v>
      </c>
      <c r="G1" s="26"/>
      <c r="H1" s="26"/>
    </row>
    <row r="2" spans="1:8" x14ac:dyDescent="0.35">
      <c r="E2" s="27" t="s">
        <v>12</v>
      </c>
      <c r="F2" s="27"/>
      <c r="G2" s="27"/>
      <c r="H2" s="27"/>
    </row>
    <row r="3" spans="1:8" x14ac:dyDescent="0.35">
      <c r="A3" s="28" t="s">
        <v>0</v>
      </c>
      <c r="B3" s="28"/>
      <c r="C3" s="28"/>
    </row>
    <row r="5" spans="1:8" x14ac:dyDescent="0.35">
      <c r="A5" s="25" t="s">
        <v>93</v>
      </c>
      <c r="B5" s="25"/>
      <c r="C5" s="25"/>
      <c r="D5" s="25"/>
      <c r="E5" s="25"/>
      <c r="F5" s="25"/>
      <c r="G5" s="25"/>
      <c r="H5" s="25"/>
    </row>
    <row r="7" spans="1:8" s="2" customFormat="1" ht="15" x14ac:dyDescent="0.35">
      <c r="A7" s="2" t="s">
        <v>2</v>
      </c>
    </row>
    <row r="8" spans="1:8" ht="63.5" customHeight="1" x14ac:dyDescent="0.35">
      <c r="A8" s="29" t="s">
        <v>3</v>
      </c>
      <c r="B8" s="29"/>
      <c r="C8" s="29"/>
      <c r="D8" s="30" t="s">
        <v>95</v>
      </c>
      <c r="E8" s="31"/>
      <c r="F8" s="31"/>
      <c r="G8" s="31"/>
      <c r="H8" s="31"/>
    </row>
    <row r="9" spans="1:8" ht="51.5" customHeight="1" x14ac:dyDescent="0.35">
      <c r="A9" s="29" t="s">
        <v>4</v>
      </c>
      <c r="B9" s="29"/>
      <c r="C9" s="29"/>
      <c r="D9" s="30" t="s">
        <v>10</v>
      </c>
      <c r="E9" s="31"/>
      <c r="F9" s="31"/>
      <c r="G9" s="31"/>
      <c r="H9" s="31"/>
    </row>
    <row r="10" spans="1:8" x14ac:dyDescent="0.35">
      <c r="A10" s="29" t="s">
        <v>5</v>
      </c>
      <c r="B10" s="29"/>
      <c r="C10" s="29"/>
      <c r="D10" s="31" t="s">
        <v>64</v>
      </c>
      <c r="E10" s="31"/>
      <c r="F10" s="31"/>
      <c r="G10" s="31"/>
      <c r="H10" s="31"/>
    </row>
    <row r="11" spans="1:8" x14ac:dyDescent="0.35">
      <c r="A11" s="29" t="s">
        <v>6</v>
      </c>
      <c r="B11" s="29"/>
      <c r="C11" s="29"/>
      <c r="D11" s="31" t="s">
        <v>64</v>
      </c>
      <c r="E11" s="31"/>
      <c r="F11" s="31"/>
      <c r="G11" s="31"/>
      <c r="H11" s="31"/>
    </row>
    <row r="12" spans="1:8" ht="66.5" customHeight="1" x14ac:dyDescent="0.35">
      <c r="A12" s="29" t="s">
        <v>65</v>
      </c>
      <c r="B12" s="29"/>
      <c r="C12" s="29"/>
      <c r="D12" s="35" t="s">
        <v>66</v>
      </c>
      <c r="E12" s="31"/>
      <c r="F12" s="31"/>
      <c r="G12" s="31"/>
      <c r="H12" s="31"/>
    </row>
    <row r="13" spans="1:8" ht="53" customHeight="1" x14ac:dyDescent="0.35">
      <c r="A13" s="29" t="s">
        <v>8</v>
      </c>
      <c r="B13" s="29"/>
      <c r="C13" s="29"/>
      <c r="D13" s="30" t="s">
        <v>90</v>
      </c>
      <c r="E13" s="31"/>
      <c r="F13" s="31"/>
      <c r="G13" s="31"/>
      <c r="H13" s="31"/>
    </row>
    <row r="14" spans="1:8" ht="13" customHeight="1" x14ac:dyDescent="0.35">
      <c r="A14" s="14"/>
      <c r="B14" s="14"/>
      <c r="C14" s="14"/>
      <c r="D14" s="15"/>
      <c r="E14" s="8"/>
      <c r="F14" s="8"/>
      <c r="G14" s="8"/>
      <c r="H14" s="8"/>
    </row>
    <row r="15" spans="1:8" s="2" customFormat="1" ht="15" x14ac:dyDescent="0.35">
      <c r="A15" s="2" t="s">
        <v>13</v>
      </c>
    </row>
    <row r="16" spans="1:8" ht="15.5" customHeight="1" x14ac:dyDescent="0.35">
      <c r="A16" s="36" t="s">
        <v>14</v>
      </c>
      <c r="B16" s="36" t="s">
        <v>15</v>
      </c>
      <c r="C16" s="36"/>
      <c r="D16" s="36"/>
      <c r="E16" s="36"/>
      <c r="F16" s="36"/>
      <c r="G16" s="37" t="s">
        <v>16</v>
      </c>
      <c r="H16" s="38"/>
    </row>
    <row r="17" spans="1:8" x14ac:dyDescent="0.35">
      <c r="A17" s="36"/>
      <c r="B17" s="36"/>
      <c r="C17" s="36"/>
      <c r="D17" s="36"/>
      <c r="E17" s="36"/>
      <c r="F17" s="36"/>
      <c r="G17" s="4" t="s">
        <v>18</v>
      </c>
      <c r="H17" s="4" t="s">
        <v>19</v>
      </c>
    </row>
    <row r="18" spans="1:8" ht="15.5" customHeight="1" x14ac:dyDescent="0.35">
      <c r="A18" s="5">
        <v>1</v>
      </c>
      <c r="B18" s="32" t="s">
        <v>20</v>
      </c>
      <c r="C18" s="33"/>
      <c r="D18" s="33"/>
      <c r="E18" s="33"/>
      <c r="F18" s="34"/>
      <c r="G18" s="5">
        <v>3</v>
      </c>
      <c r="H18" s="5">
        <v>3</v>
      </c>
    </row>
    <row r="19" spans="1:8" ht="15.5" customHeight="1" x14ac:dyDescent="0.35">
      <c r="A19" s="5">
        <v>2</v>
      </c>
      <c r="B19" s="32" t="s">
        <v>21</v>
      </c>
      <c r="C19" s="33"/>
      <c r="D19" s="33"/>
      <c r="E19" s="33"/>
      <c r="F19" s="34"/>
      <c r="G19" s="5">
        <v>3</v>
      </c>
      <c r="H19" s="5">
        <v>3</v>
      </c>
    </row>
    <row r="20" spans="1:8" ht="15.5" customHeight="1" x14ac:dyDescent="0.35">
      <c r="A20" s="5">
        <v>3</v>
      </c>
      <c r="B20" s="32" t="s">
        <v>22</v>
      </c>
      <c r="C20" s="33"/>
      <c r="D20" s="33"/>
      <c r="E20" s="33"/>
      <c r="F20" s="34"/>
      <c r="G20" s="5">
        <v>3</v>
      </c>
      <c r="H20" s="5">
        <v>3</v>
      </c>
    </row>
    <row r="21" spans="1:8" ht="15.5" customHeight="1" x14ac:dyDescent="0.35">
      <c r="A21" s="5">
        <v>4</v>
      </c>
      <c r="B21" s="32" t="s">
        <v>23</v>
      </c>
      <c r="C21" s="33"/>
      <c r="D21" s="33"/>
      <c r="E21" s="33"/>
      <c r="F21" s="34"/>
      <c r="G21" s="5">
        <v>3</v>
      </c>
      <c r="H21" s="5">
        <v>3</v>
      </c>
    </row>
    <row r="22" spans="1:8" ht="15.5" customHeight="1" x14ac:dyDescent="0.35">
      <c r="A22" s="5">
        <v>5</v>
      </c>
      <c r="B22" s="32" t="s">
        <v>24</v>
      </c>
      <c r="C22" s="33"/>
      <c r="D22" s="33"/>
      <c r="E22" s="33"/>
      <c r="F22" s="34"/>
      <c r="G22" s="5">
        <v>3</v>
      </c>
      <c r="H22" s="5">
        <v>3</v>
      </c>
    </row>
    <row r="23" spans="1:8" ht="15.5" customHeight="1" x14ac:dyDescent="0.35">
      <c r="A23" s="5">
        <v>6</v>
      </c>
      <c r="B23" s="32" t="s">
        <v>25</v>
      </c>
      <c r="C23" s="33"/>
      <c r="D23" s="33"/>
      <c r="E23" s="33"/>
      <c r="F23" s="34"/>
      <c r="G23" s="5">
        <v>3</v>
      </c>
      <c r="H23" s="5">
        <v>3</v>
      </c>
    </row>
    <row r="24" spans="1:8" ht="15.5" customHeight="1" x14ac:dyDescent="0.35">
      <c r="A24" s="5">
        <v>7</v>
      </c>
      <c r="B24" s="32" t="s">
        <v>26</v>
      </c>
      <c r="C24" s="33"/>
      <c r="D24" s="33"/>
      <c r="E24" s="33"/>
      <c r="F24" s="34"/>
      <c r="G24" s="5">
        <v>3</v>
      </c>
      <c r="H24" s="5">
        <v>3</v>
      </c>
    </row>
    <row r="25" spans="1:8" ht="15.5" customHeight="1" x14ac:dyDescent="0.35">
      <c r="A25" s="5"/>
      <c r="B25" s="39" t="s">
        <v>27</v>
      </c>
      <c r="C25" s="40"/>
      <c r="D25" s="40"/>
      <c r="E25" s="40"/>
      <c r="F25" s="41"/>
      <c r="G25" s="21">
        <f t="shared" ref="G25:H25" si="0">SUM(G18:G24)</f>
        <v>21</v>
      </c>
      <c r="H25" s="21">
        <f t="shared" si="0"/>
        <v>21</v>
      </c>
    </row>
    <row r="26" spans="1:8" ht="36" customHeight="1" x14ac:dyDescent="0.35">
      <c r="A26" s="5"/>
      <c r="B26" s="39" t="s">
        <v>28</v>
      </c>
      <c r="C26" s="40"/>
      <c r="D26" s="40"/>
      <c r="E26" s="40"/>
      <c r="F26" s="41"/>
      <c r="G26" s="21" t="str">
        <f>VLOOKUP(G25,'Bảng điểm'!$B$2:$C$23,2,0)</f>
        <v>Tốt, đáp ứng yêu cầu</v>
      </c>
      <c r="H26" s="21" t="str">
        <f>VLOOKUP(H25,'Bảng điểm'!$B$2:$C$23,2,0)</f>
        <v>Tốt, đáp ứng yêu cầu</v>
      </c>
    </row>
    <row r="27" spans="1:8" ht="12.5" customHeight="1" x14ac:dyDescent="0.35">
      <c r="A27" s="16"/>
      <c r="B27" s="17"/>
      <c r="C27" s="17"/>
      <c r="D27" s="17"/>
      <c r="E27" s="17"/>
      <c r="F27" s="18"/>
      <c r="G27" s="18"/>
      <c r="H27" s="18"/>
    </row>
    <row r="28" spans="1:8" s="2" customFormat="1" ht="15" x14ac:dyDescent="0.35">
      <c r="A28" s="2" t="s">
        <v>46</v>
      </c>
    </row>
    <row r="29" spans="1:8" x14ac:dyDescent="0.35">
      <c r="A29" s="10" t="s">
        <v>47</v>
      </c>
    </row>
    <row r="30" spans="1:8" x14ac:dyDescent="0.35">
      <c r="A30" s="42" t="s">
        <v>87</v>
      </c>
      <c r="B30" s="43"/>
      <c r="C30" s="43"/>
      <c r="D30" s="43"/>
      <c r="E30" s="43"/>
      <c r="F30" s="43"/>
      <c r="G30" s="43"/>
      <c r="H30" s="43"/>
    </row>
    <row r="31" spans="1:8" s="2" customFormat="1" ht="15" x14ac:dyDescent="0.35">
      <c r="A31" s="10" t="s">
        <v>48</v>
      </c>
    </row>
    <row r="32" spans="1:8" x14ac:dyDescent="0.35">
      <c r="A32" s="42" t="s">
        <v>88</v>
      </c>
      <c r="B32" s="43"/>
      <c r="C32" s="43"/>
      <c r="D32" s="43"/>
      <c r="E32" s="43"/>
      <c r="F32" s="43"/>
      <c r="G32" s="43"/>
      <c r="H32" s="43"/>
    </row>
    <row r="33" spans="1:8" ht="8.5" customHeight="1" x14ac:dyDescent="0.35"/>
    <row r="34" spans="1:8" s="2" customFormat="1" ht="15" x14ac:dyDescent="0.35">
      <c r="C34" s="3"/>
      <c r="D34" s="3" t="s">
        <v>52</v>
      </c>
      <c r="G34" s="3" t="s">
        <v>19</v>
      </c>
    </row>
    <row r="37" spans="1:8" ht="10.5" customHeight="1" x14ac:dyDescent="0.35"/>
    <row r="38" spans="1:8" hidden="1" x14ac:dyDescent="0.35"/>
    <row r="39" spans="1:8" s="2" customFormat="1" ht="15" x14ac:dyDescent="0.35">
      <c r="C39" s="3"/>
      <c r="D39" s="2" t="s">
        <v>53</v>
      </c>
      <c r="G39" s="2" t="s">
        <v>53</v>
      </c>
    </row>
    <row r="40" spans="1:8" s="2" customFormat="1" ht="15" x14ac:dyDescent="0.35">
      <c r="C40" s="3"/>
    </row>
    <row r="41" spans="1:8" s="2" customFormat="1" ht="15" x14ac:dyDescent="0.35">
      <c r="A41" s="25" t="s">
        <v>94</v>
      </c>
      <c r="B41" s="25"/>
      <c r="C41" s="25"/>
      <c r="D41" s="25"/>
      <c r="E41" s="25"/>
      <c r="F41" s="25"/>
      <c r="G41" s="25"/>
      <c r="H41" s="25"/>
    </row>
    <row r="46" spans="1:8" s="2" customFormat="1" ht="15" x14ac:dyDescent="0.35">
      <c r="A46" s="25" t="s">
        <v>96</v>
      </c>
      <c r="B46" s="25"/>
      <c r="C46" s="25"/>
      <c r="D46" s="25"/>
      <c r="E46" s="25"/>
      <c r="F46" s="25"/>
      <c r="G46" s="25"/>
      <c r="H46" s="25"/>
    </row>
  </sheetData>
  <mergeCells count="32">
    <mergeCell ref="B24:F24"/>
    <mergeCell ref="B25:F25"/>
    <mergeCell ref="B26:F26"/>
    <mergeCell ref="A30:H30"/>
    <mergeCell ref="A32:H32"/>
    <mergeCell ref="B18:F18"/>
    <mergeCell ref="B19:F19"/>
    <mergeCell ref="B20:F20"/>
    <mergeCell ref="B21:F21"/>
    <mergeCell ref="B22:F22"/>
    <mergeCell ref="D12:H12"/>
    <mergeCell ref="A13:C13"/>
    <mergeCell ref="D13:H13"/>
    <mergeCell ref="A16:A17"/>
    <mergeCell ref="B16:F17"/>
    <mergeCell ref="G16:H16"/>
    <mergeCell ref="A41:H41"/>
    <mergeCell ref="A46:H46"/>
    <mergeCell ref="F1:H1"/>
    <mergeCell ref="E2:H2"/>
    <mergeCell ref="A3:C3"/>
    <mergeCell ref="A5:H5"/>
    <mergeCell ref="A8:C8"/>
    <mergeCell ref="D8:H8"/>
    <mergeCell ref="A9:C9"/>
    <mergeCell ref="D9:H9"/>
    <mergeCell ref="A10:C10"/>
    <mergeCell ref="D10:H10"/>
    <mergeCell ref="A11:C11"/>
    <mergeCell ref="D11:H11"/>
    <mergeCell ref="B23:F23"/>
    <mergeCell ref="A12:C12"/>
  </mergeCells>
  <pageMargins left="0.70866141732283472" right="0.19685039370078741" top="0.35433070866141736" bottom="0.55118110236220474" header="0.31496062992125984" footer="0.31496062992125984"/>
  <pageSetup scale="95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5121" r:id="rId4">
          <objectPr defaultSize="0" autoPict="0" r:id="rId5">
            <anchor moveWithCells="1" sizeWithCells="1">
              <from>
                <xdr:col>0</xdr:col>
                <xdr:colOff>31750</xdr:colOff>
                <xdr:row>0</xdr:row>
                <xdr:rowOff>25400</xdr:rowOff>
              </from>
              <to>
                <xdr:col>2</xdr:col>
                <xdr:colOff>266700</xdr:colOff>
                <xdr:row>1</xdr:row>
                <xdr:rowOff>184150</xdr:rowOff>
              </to>
            </anchor>
          </objectPr>
        </oleObject>
      </mc:Choice>
      <mc:Fallback>
        <oleObject progId="PBrush" shapeId="5121" r:id="rId4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'Bảng điểm'!$A$2:$A$6</xm:f>
          </x14:formula1>
          <xm:sqref>G18:H24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H28"/>
  <sheetViews>
    <sheetView showGridLines="0" workbookViewId="0">
      <selection activeCell="C15" sqref="C15"/>
    </sheetView>
  </sheetViews>
  <sheetFormatPr defaultRowHeight="15.5" x14ac:dyDescent="0.35"/>
  <cols>
    <col min="1" max="2" width="27.453125" style="1" customWidth="1"/>
    <col min="3" max="3" width="54.26953125" style="1" customWidth="1"/>
    <col min="4" max="16384" width="8.7265625" style="1"/>
  </cols>
  <sheetData>
    <row r="2" spans="1:8" x14ac:dyDescent="0.35">
      <c r="A2" s="46" t="s">
        <v>29</v>
      </c>
      <c r="B2" s="46"/>
      <c r="C2" s="46"/>
      <c r="D2" s="2"/>
      <c r="E2" s="2"/>
      <c r="F2" s="2"/>
      <c r="G2" s="2"/>
      <c r="H2" s="2"/>
    </row>
    <row r="4" spans="1:8" x14ac:dyDescent="0.35">
      <c r="A4" s="51" t="s">
        <v>30</v>
      </c>
      <c r="B4" s="51"/>
      <c r="C4" s="51"/>
    </row>
    <row r="5" spans="1:8" x14ac:dyDescent="0.35">
      <c r="A5" s="49" t="s">
        <v>43</v>
      </c>
      <c r="B5" s="50"/>
      <c r="C5" s="50"/>
    </row>
    <row r="6" spans="1:8" ht="51.5" customHeight="1" x14ac:dyDescent="0.35">
      <c r="A6" s="49" t="s">
        <v>44</v>
      </c>
      <c r="B6" s="50"/>
      <c r="C6" s="50"/>
      <c r="D6" s="8"/>
      <c r="E6" s="8"/>
      <c r="F6" s="8"/>
      <c r="G6" s="8"/>
      <c r="H6" s="8"/>
    </row>
    <row r="7" spans="1:8" x14ac:dyDescent="0.35">
      <c r="A7" s="49" t="s">
        <v>60</v>
      </c>
      <c r="B7" s="50"/>
      <c r="C7" s="50"/>
      <c r="D7" s="8"/>
      <c r="E7" s="8"/>
      <c r="F7" s="8"/>
      <c r="G7" s="8"/>
      <c r="H7" s="8"/>
    </row>
    <row r="8" spans="1:8" ht="36" customHeight="1" x14ac:dyDescent="0.35">
      <c r="A8" s="49" t="s">
        <v>45</v>
      </c>
      <c r="B8" s="50"/>
      <c r="C8" s="50"/>
      <c r="D8" s="8"/>
      <c r="E8" s="8"/>
      <c r="F8" s="8"/>
      <c r="G8" s="8"/>
      <c r="H8" s="8"/>
    </row>
    <row r="9" spans="1:8" s="2" customFormat="1" ht="15" x14ac:dyDescent="0.35">
      <c r="A9" s="51" t="s">
        <v>31</v>
      </c>
      <c r="B9" s="51"/>
      <c r="C9" s="51"/>
    </row>
    <row r="10" spans="1:8" s="2" customFormat="1" x14ac:dyDescent="0.35">
      <c r="A10" s="49" t="s">
        <v>81</v>
      </c>
      <c r="B10" s="50"/>
      <c r="C10" s="50"/>
    </row>
    <row r="11" spans="1:8" s="2" customFormat="1" x14ac:dyDescent="0.35">
      <c r="A11" s="49" t="s">
        <v>82</v>
      </c>
      <c r="B11" s="50"/>
      <c r="C11" s="50"/>
    </row>
    <row r="12" spans="1:8" s="2" customFormat="1" x14ac:dyDescent="0.35">
      <c r="A12" s="49" t="s">
        <v>83</v>
      </c>
      <c r="B12" s="50"/>
      <c r="C12" s="50"/>
    </row>
    <row r="13" spans="1:8" s="2" customFormat="1" x14ac:dyDescent="0.35">
      <c r="A13" s="49" t="s">
        <v>84</v>
      </c>
      <c r="B13" s="50"/>
      <c r="C13" s="50"/>
    </row>
    <row r="14" spans="1:8" s="2" customFormat="1" ht="15" x14ac:dyDescent="0.35">
      <c r="A14" s="52" t="s">
        <v>32</v>
      </c>
      <c r="B14" s="52"/>
      <c r="C14" s="52"/>
    </row>
    <row r="15" spans="1:8" x14ac:dyDescent="0.35">
      <c r="A15" s="4" t="s">
        <v>33</v>
      </c>
      <c r="B15" s="4" t="s">
        <v>34</v>
      </c>
      <c r="C15" s="4" t="s">
        <v>67</v>
      </c>
    </row>
    <row r="16" spans="1:8" ht="62" x14ac:dyDescent="0.35">
      <c r="A16" s="19" t="s">
        <v>20</v>
      </c>
      <c r="B16" s="20" t="s">
        <v>35</v>
      </c>
      <c r="C16" s="9" t="s">
        <v>70</v>
      </c>
    </row>
    <row r="17" spans="1:3" ht="62" x14ac:dyDescent="0.35">
      <c r="A17" s="20" t="s">
        <v>21</v>
      </c>
      <c r="B17" s="20" t="s">
        <v>36</v>
      </c>
      <c r="C17" s="9" t="s">
        <v>71</v>
      </c>
    </row>
    <row r="18" spans="1:3" ht="62" x14ac:dyDescent="0.35">
      <c r="A18" s="20" t="s">
        <v>22</v>
      </c>
      <c r="B18" s="20" t="s">
        <v>37</v>
      </c>
      <c r="C18" s="9" t="s">
        <v>72</v>
      </c>
    </row>
    <row r="19" spans="1:3" ht="62" x14ac:dyDescent="0.35">
      <c r="A19" s="20" t="s">
        <v>23</v>
      </c>
      <c r="B19" s="20" t="s">
        <v>38</v>
      </c>
      <c r="C19" s="9" t="s">
        <v>73</v>
      </c>
    </row>
    <row r="20" spans="1:3" ht="62" x14ac:dyDescent="0.35">
      <c r="A20" s="20" t="s">
        <v>24</v>
      </c>
      <c r="B20" s="20" t="s">
        <v>39</v>
      </c>
      <c r="C20" s="9" t="s">
        <v>74</v>
      </c>
    </row>
    <row r="21" spans="1:3" ht="62" x14ac:dyDescent="0.35">
      <c r="A21" s="20" t="s">
        <v>25</v>
      </c>
      <c r="B21" s="20" t="s">
        <v>40</v>
      </c>
      <c r="C21" s="9" t="s">
        <v>85</v>
      </c>
    </row>
    <row r="22" spans="1:3" ht="62" x14ac:dyDescent="0.35">
      <c r="A22" s="20" t="s">
        <v>26</v>
      </c>
      <c r="B22" s="20" t="s">
        <v>41</v>
      </c>
      <c r="C22" s="9" t="s">
        <v>75</v>
      </c>
    </row>
    <row r="23" spans="1:3" x14ac:dyDescent="0.35">
      <c r="A23" s="53" t="s">
        <v>42</v>
      </c>
      <c r="B23" s="53"/>
      <c r="C23" s="53"/>
    </row>
    <row r="24" spans="1:3" x14ac:dyDescent="0.35">
      <c r="A24" s="47" t="s">
        <v>76</v>
      </c>
      <c r="B24" s="48"/>
      <c r="C24" s="48"/>
    </row>
    <row r="25" spans="1:3" x14ac:dyDescent="0.35">
      <c r="A25" s="47" t="s">
        <v>77</v>
      </c>
      <c r="B25" s="48"/>
      <c r="C25" s="48"/>
    </row>
    <row r="26" spans="1:3" x14ac:dyDescent="0.35">
      <c r="A26" s="47" t="s">
        <v>78</v>
      </c>
      <c r="B26" s="48"/>
      <c r="C26" s="48"/>
    </row>
    <row r="27" spans="1:3" x14ac:dyDescent="0.35">
      <c r="A27" s="47" t="s">
        <v>79</v>
      </c>
      <c r="B27" s="48"/>
      <c r="C27" s="48"/>
    </row>
    <row r="28" spans="1:3" ht="63" customHeight="1" x14ac:dyDescent="0.35">
      <c r="A28" s="54" t="s">
        <v>80</v>
      </c>
      <c r="B28" s="55"/>
      <c r="C28" s="55"/>
    </row>
  </sheetData>
  <mergeCells count="18">
    <mergeCell ref="A28:C28"/>
    <mergeCell ref="A24:C24"/>
    <mergeCell ref="A2:C2"/>
    <mergeCell ref="A25:C25"/>
    <mergeCell ref="A26:C26"/>
    <mergeCell ref="A27:C27"/>
    <mergeCell ref="A8:C8"/>
    <mergeCell ref="A10:C10"/>
    <mergeCell ref="A11:C11"/>
    <mergeCell ref="A12:C12"/>
    <mergeCell ref="A13:C13"/>
    <mergeCell ref="A5:C5"/>
    <mergeCell ref="A6:C6"/>
    <mergeCell ref="A7:C7"/>
    <mergeCell ref="A9:C9"/>
    <mergeCell ref="A4:C4"/>
    <mergeCell ref="A14:C14"/>
    <mergeCell ref="A23:C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showGridLines="0" workbookViewId="0">
      <selection activeCell="C4" sqref="C4"/>
    </sheetView>
  </sheetViews>
  <sheetFormatPr defaultRowHeight="14" x14ac:dyDescent="0.35"/>
  <cols>
    <col min="1" max="1" width="5.36328125" style="7" bestFit="1" customWidth="1"/>
    <col min="2" max="2" width="10" style="7" bestFit="1" customWidth="1"/>
    <col min="3" max="3" width="42" style="6" bestFit="1" customWidth="1"/>
    <col min="4" max="16384" width="8.7265625" style="6"/>
  </cols>
  <sheetData>
    <row r="1" spans="1:4" x14ac:dyDescent="0.35">
      <c r="A1" s="22" t="s">
        <v>54</v>
      </c>
      <c r="B1" s="23" t="s">
        <v>91</v>
      </c>
      <c r="C1" s="23" t="s">
        <v>55</v>
      </c>
    </row>
    <row r="2" spans="1:4" ht="15.5" customHeight="1" x14ac:dyDescent="0.35">
      <c r="A2" s="11">
        <v>3</v>
      </c>
      <c r="B2" s="13">
        <v>21</v>
      </c>
      <c r="C2" s="12" t="s">
        <v>56</v>
      </c>
      <c r="D2" s="1"/>
    </row>
    <row r="3" spans="1:4" ht="15.5" customHeight="1" x14ac:dyDescent="0.35">
      <c r="A3" s="11">
        <v>2</v>
      </c>
      <c r="B3" s="13">
        <v>20</v>
      </c>
      <c r="C3" s="12" t="s">
        <v>56</v>
      </c>
      <c r="D3" s="1"/>
    </row>
    <row r="4" spans="1:4" ht="15.5" x14ac:dyDescent="0.35">
      <c r="A4" s="11">
        <v>1</v>
      </c>
      <c r="B4" s="13">
        <v>19</v>
      </c>
      <c r="C4" s="12" t="s">
        <v>57</v>
      </c>
      <c r="D4" s="1"/>
    </row>
    <row r="5" spans="1:4" ht="15.5" customHeight="1" x14ac:dyDescent="0.35">
      <c r="A5" s="11">
        <v>0</v>
      </c>
      <c r="B5" s="13">
        <v>18</v>
      </c>
      <c r="C5" s="12" t="s">
        <v>57</v>
      </c>
      <c r="D5" s="1"/>
    </row>
    <row r="6" spans="1:4" ht="15.5" x14ac:dyDescent="0.35">
      <c r="A6" s="11"/>
      <c r="B6" s="13">
        <v>17</v>
      </c>
      <c r="C6" s="12" t="s">
        <v>57</v>
      </c>
    </row>
    <row r="7" spans="1:4" ht="15.5" x14ac:dyDescent="0.35">
      <c r="A7" s="11"/>
      <c r="B7" s="13">
        <v>16</v>
      </c>
      <c r="C7" s="12" t="s">
        <v>57</v>
      </c>
    </row>
    <row r="8" spans="1:4" ht="15.5" x14ac:dyDescent="0.35">
      <c r="A8" s="11"/>
      <c r="B8" s="13">
        <v>15</v>
      </c>
      <c r="C8" s="12" t="s">
        <v>58</v>
      </c>
    </row>
    <row r="9" spans="1:4" ht="15.5" x14ac:dyDescent="0.35">
      <c r="A9" s="11"/>
      <c r="B9" s="13">
        <v>14</v>
      </c>
      <c r="C9" s="12" t="s">
        <v>58</v>
      </c>
    </row>
    <row r="10" spans="1:4" ht="15.5" x14ac:dyDescent="0.35">
      <c r="A10" s="11"/>
      <c r="B10" s="13">
        <v>13</v>
      </c>
      <c r="C10" s="12" t="s">
        <v>58</v>
      </c>
    </row>
    <row r="11" spans="1:4" ht="15.5" x14ac:dyDescent="0.35">
      <c r="A11" s="11"/>
      <c r="B11" s="13">
        <v>12</v>
      </c>
      <c r="C11" s="12" t="s">
        <v>58</v>
      </c>
    </row>
    <row r="12" spans="1:4" ht="15.5" x14ac:dyDescent="0.35">
      <c r="A12" s="11"/>
      <c r="B12" s="13">
        <v>11</v>
      </c>
      <c r="C12" s="12" t="s">
        <v>58</v>
      </c>
    </row>
    <row r="13" spans="1:4" ht="15.5" x14ac:dyDescent="0.35">
      <c r="A13" s="11"/>
      <c r="B13" s="13">
        <v>10</v>
      </c>
      <c r="C13" s="12" t="s">
        <v>58</v>
      </c>
    </row>
    <row r="14" spans="1:4" ht="15.5" x14ac:dyDescent="0.35">
      <c r="A14" s="11"/>
      <c r="B14" s="13">
        <v>9</v>
      </c>
      <c r="C14" s="12" t="s">
        <v>59</v>
      </c>
    </row>
    <row r="15" spans="1:4" ht="15.5" x14ac:dyDescent="0.35">
      <c r="A15" s="11"/>
      <c r="B15" s="13">
        <v>8</v>
      </c>
      <c r="C15" s="12" t="s">
        <v>59</v>
      </c>
    </row>
    <row r="16" spans="1:4" ht="15.5" x14ac:dyDescent="0.35">
      <c r="A16" s="11"/>
      <c r="B16" s="13">
        <v>7</v>
      </c>
      <c r="C16" s="12" t="s">
        <v>59</v>
      </c>
    </row>
    <row r="17" spans="1:3" ht="15.5" x14ac:dyDescent="0.35">
      <c r="A17" s="11"/>
      <c r="B17" s="13">
        <v>6</v>
      </c>
      <c r="C17" s="12" t="s">
        <v>59</v>
      </c>
    </row>
    <row r="18" spans="1:3" ht="15.5" x14ac:dyDescent="0.35">
      <c r="A18" s="11"/>
      <c r="B18" s="13">
        <v>5</v>
      </c>
      <c r="C18" s="12" t="s">
        <v>59</v>
      </c>
    </row>
    <row r="19" spans="1:3" ht="15.5" x14ac:dyDescent="0.35">
      <c r="A19" s="11"/>
      <c r="B19" s="13">
        <v>4</v>
      </c>
      <c r="C19" s="12" t="s">
        <v>59</v>
      </c>
    </row>
    <row r="20" spans="1:3" ht="15.5" x14ac:dyDescent="0.35">
      <c r="A20" s="11"/>
      <c r="B20" s="13">
        <v>3</v>
      </c>
      <c r="C20" s="12" t="s">
        <v>59</v>
      </c>
    </row>
    <row r="21" spans="1:3" ht="15.5" x14ac:dyDescent="0.35">
      <c r="A21" s="11"/>
      <c r="B21" s="13">
        <v>2</v>
      </c>
      <c r="C21" s="12" t="s">
        <v>59</v>
      </c>
    </row>
    <row r="22" spans="1:3" ht="15.5" x14ac:dyDescent="0.35">
      <c r="A22" s="11"/>
      <c r="B22" s="13">
        <v>1</v>
      </c>
      <c r="C22" s="12" t="s">
        <v>59</v>
      </c>
    </row>
    <row r="23" spans="1:3" ht="15.5" x14ac:dyDescent="0.35">
      <c r="A23" s="11"/>
      <c r="B23" s="13">
        <v>0</v>
      </c>
      <c r="C23" s="12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MB05A_DGCL_ĐKT</vt:lpstr>
      <vt:lpstr>MB05B_DGCL_ĐKT</vt:lpstr>
      <vt:lpstr>MB05C_DGCL_ĐKT</vt:lpstr>
      <vt:lpstr>Hướng dẫn</vt:lpstr>
      <vt:lpstr>Bảng điểm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2026-03-31T04:40:09Z</dcterms:modified>
</cp:coreProperties>
</file>